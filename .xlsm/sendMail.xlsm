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GitHub\Excel\.xlsm\"/>
    </mc:Choice>
  </mc:AlternateContent>
  <xr:revisionPtr revIDLastSave="0" documentId="13_ncr:1_{31295DA8-6E54-41D0-83B6-ABDA23F936D3}" xr6:coauthVersionLast="47" xr6:coauthVersionMax="47" xr10:uidLastSave="{00000000-0000-0000-0000-000000000000}"/>
  <bookViews>
    <workbookView xWindow="768" yWindow="1368" windowWidth="17280" windowHeight="8964" activeTab="2" xr2:uid="{9B3B6A73-13D3-4E1F-82B3-5DC8A95BE0D6}"/>
  </bookViews>
  <sheets>
    <sheet name="II" sheetId="2" r:id="rId1"/>
    <sheet name="II_html" sheetId="3" r:id="rId2"/>
    <sheet name="IV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<sst xmlns="http://schemas.openxmlformats.org/spreadsheetml/2006/main" count="111" uniqueCount="88">
  <si>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</si>
  <si>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</si>
  <si>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</si>
  <si>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</si>
  <si>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</si>
  <si>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</si>
  <si>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</si>
  <si>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</si>
  <si>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</si>
  <si>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</si>
  <si>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</si>
  <si>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</si>
  <si>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</si>
  <si>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</si>
  <si>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</si>
  <si>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</si>
  <si>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d</t>
  </si>
  <si>
    <t>6.1. Fallas en procesos y soporte tecnológico asociados a la prevención y gestión de riesgos de LA/FT</t>
  </si>
  <si>
    <t>c</t>
  </si>
  <si>
    <t>1.4. Deficiencias en la aplicación del procedimiento de debida diligencia para el conocimiento de clientes.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</si>
  <si>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</si>
  <si>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</si>
  <si>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</si>
  <si>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</si>
  <si>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</si>
  <si>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</si>
  <si>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</si>
  <si>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</si>
  <si>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</si>
  <si>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</si>
  <si>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</si>
  <si>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</si>
  <si>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</si>
  <si>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</si>
  <si>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</si>
  <si>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</si>
  <si>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</si>
  <si>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</si>
  <si>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</si>
  <si>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</si>
  <si>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</si>
  <si>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</si>
  <si>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</si>
  <si>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</si>
  <si>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</si>
  <si>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</si>
  <si>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</si>
  <si>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</si>
  <si>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</si>
  <si>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</si>
  <si>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</si>
  <si>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</si>
  <si>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</si>
  <si>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</si>
  <si>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</si>
  <si>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</si>
  <si>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</si>
  <si>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</si>
  <si>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</si>
  <si>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</si>
  <si>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</si>
  <si>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</si>
  <si>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</si>
  <si>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</si>
  <si>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</si>
  <si>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</si>
  <si>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</si>
  <si>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</si>
  <si>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</si>
  <si>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</si>
  <si>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</si>
  <si>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</si>
  <si>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</si>
  <si>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</si>
  <si>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</si>
  <si>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</si>
  <si>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</si>
  <si>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</si>
  <si>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</si>
  <si>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</si>
  <si>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</si>
  <si>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</si>
  <si>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&lt;br&gt;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</si>
  <si>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&lt;br&gt;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&lt;br&gt;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</si>
  <si>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Se emitió el Informe de SPLAFT 2021, tanto de MP como MPV el 25 de enero.
&lt;br&gt;
Calificación: Buena con Excepciones.
&lt;br&gt;
Dos recomendaciones en proceso: una para la Unidad de Cumplimiento.</t>
  </si>
  <si>
    <t>MAPFRE utiliza un formato donde solicita a las empresas comuniquen sus accionistas/socios/asociados con más del 25%, sin embargo, actualizaremos el mismo para que quede claro el porcentaje de cada uno.
&lt;br&gt;
El nuevo formato será remitido a la Superintendencia.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</si>
  <si>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.tg-1wig{font-weight:bold;text-align:left;vertical-align:top}
.tg .tg-ihgq{background-color:#C00000;color:#FFF;font-weight:bold;text-align:center;vertical-align:top}
.tg .tg-0e6g{background-color:#C00000;color:#FFF;font-weight:bold;text-align:left;vertical-align:top}
.tg .tg-0lax{text-align:left;vertical-align:top}
&lt;/style&gt;
&lt;table class='tg' style='undefined;table-layout: fixed; width: 741px'&gt;
&lt;colgroup&gt;
&lt;col style='width: 27px'&gt;
&lt;col style='width: 210px'&gt;
&lt;col style='width: 140px'&gt;
&lt;col style='width: 364px'&gt;
&lt;/colgroup&gt;
&lt;thead&gt;
  &lt;tr&gt;
    &lt;th class='tg-ihgq'&gt;N°&lt;/th&gt;
    &lt;th class='tg-ihgq'&gt;Tarea&lt;/th&gt;
    &lt;th class='tg-0e6g'&gt;Estado&lt;/th&gt;
    &lt;th class='tg-ihgq'&gt;Plazo&amp;nbsp;&amp;nbsp;&amp;nbsp;máximo de entrega&lt;/th&gt;
  &lt;/tr&gt;
&lt;/thead&gt;
&lt;tbody&gt;
  &lt;tr&gt;
    &lt;td class='tg-0lax'&gt;1&lt;/td&gt;
    &lt;td class='tg-0lax'&gt;CRS 2018 y 2020&lt;/td&gt;
    &lt;td class='tg-1wig'&gt;TERMINADO&lt;br&gt;    con Estudio HU.&lt;/td&gt;
    &lt;td class='tg-0lax'&gt;Fecha: 23/07/2021&lt;br&gt;&amp;nbsp;&amp;nbsp;&amp;nbsp;&amp;nbsp;&amp;nbsp;Tanto de 2018 como 2020.&lt;br&gt;&amp;nbsp;&amp;nbsp;&amp;nbsp;&amp;nbsp;&amp;nbsp;A la SUNAT y lo realiza U.Contabilidad.&lt;/td&gt;
  &lt;/tr&gt;
  &lt;tr&gt;
    &lt;td class='tg-0lax'&gt;2&lt;/td&gt;
    &lt;td class='tg-0lax'&gt;Cuestionario LAFT 2020 (Gran Tabla SBS)&lt;/td&gt;
    &lt;td class='tg-1wig'&gt;TERMINADO&lt;br&gt;&amp;nbsp;&amp;nbsp;&amp;nbsp;&amp;nbsp;&amp;nbsp; con T.I.&lt;/td&gt;
    &lt;td class='tg-0lax'&gt;15 d. luego del Directorio, junto con el Informe Semestral.&lt;br&gt;&amp;nbsp;&amp;nbsp;&amp;nbsp;&amp;nbsp;&amp;nbsp;Fecha: 10/08/2021&lt;br&gt;&amp;nbsp;&amp;nbsp;&amp;nbsp;&amp;nbsp;&amp;nbsp;Por el portal ISOC.&lt;br&gt;&amp;nbsp;&amp;nbsp;&amp;nbsp;&amp;nbsp;&amp;nbsp;Se remitió Excel por MP y MPV.&lt;/td&gt;
  &lt;/tr&gt;
  &lt;tr&gt;
    &lt;td class='tg-0lax'&gt;3&lt;/td&gt;
    &lt;td class='tg-0lax'&gt;Modelo de prevención – Nueva norma 2021.&lt;/td&gt;
    &lt;td class='tg-0lax'&gt;En Revisión.&lt;/td&gt;
    &lt;td class='tg-0lax'&gt;-&lt;/td&gt;
  &lt;/tr&gt;
  &lt;tr&gt;
    &lt;td class='tg-0lax'&gt;4&lt;/td&gt;
    &lt;td class='tg-0lax'&gt;Registro de Operaciones (BuildSoft)&lt;/td&gt;
    &lt;td class='tg-1wig'&gt;En Proceso&lt;br&gt;&amp;nbsp;&amp;nbsp;&amp;nbsp;&amp;nbsp;&amp;nbsp;con T.I&lt;/td&gt;
    &lt;td class='tg-0lax'&gt;15 d. del mes siguiente.&lt;br&gt;&amp;nbsp;&amp;nbsp;&amp;nbsp;&amp;nbsp;&amp;nbsp;A la espera que se envíe el RO de junio tanto de MP, que presentó errores&amp;nbsp;&amp;nbsp;&amp;nbsp;en el envío. MPV también presentó problemas en julio, se envió en&amp;nbsp;&amp;nbsp;&amp;nbsp;agosto.&lt;br&gt;&amp;nbsp;&amp;nbsp;&amp;nbsp;&amp;nbsp;&amp;nbsp;Fecha: 21/07/2021.&lt;/td&gt;
  &lt;/tr&gt;
  &lt;tr&gt;
    &lt;td class='tg-0lax'&gt;5&lt;/td&gt;
    &lt;td class='tg-0lax'&gt;Campaña de Accionistas&lt;/td&gt;
    &lt;td class='tg-1wig'&gt;Ya iniciado.&lt;/td&gt;
    &lt;td class='tg-0lax'&gt;Campaña de actualización periódica (10-20-30).&lt;/td&gt;
  &lt;/tr&gt;
  &lt;tr&gt;
    &lt;td class='tg-0lax'&gt;6&lt;/td&gt;
    &lt;td class='tg-0lax'&gt;Evaluación de Riesgos Inherentes – 2021 // Inherent Risks Assemesment&amp;nbsp;&amp;nbsp;&amp;nbsp;– 2021&lt;/td&gt;
    &lt;td class='tg-1wig'&gt;Pendiente.&lt;/td&gt;
    &lt;td class='tg-0lax'&gt;Enviado desde el Corporativo.&lt;br&gt;&amp;nbsp;&amp;nbsp;&amp;nbsp;&amp;nbsp;&amp;nbsp;B-Wise.&lt;br&gt;&amp;nbsp;&amp;nbsp;&amp;nbsp;&amp;nbsp;&amp;nbsp;Fecha: noviembre 2021.&lt;/td&gt;
  &lt;/tr&gt;
  &lt;tr&gt;
    &lt;td class='tg-0lax'&gt;7&lt;/td&gt;
    &lt;td class='tg-0lax'&gt;Informe de Riesgos por entidad&lt;/td&gt;
    &lt;td class='tg-1wig'&gt;Pendiente.&lt;/td&gt;
    &lt;td class='tg-0lax'&gt;A preguntar al Corporativo-Blanca Sanchez&lt;/td&gt;
  &lt;/tr&gt;
  &lt;tr&gt;
    &lt;td class='tg-0lax'&gt;8&lt;/td&gt;
    &lt;td class='tg-0lax'&gt;Informe de Nuevo producto&lt;/td&gt;
    &lt;td class='tg-1wig'&gt;En Proceso.&lt;/td&gt;
    &lt;td class='tg-0lax'&gt;Revisión de Cuestionario.&lt;/td&gt;
  &lt;/tr&gt;
&lt;/tbody&gt;
&lt;/table&gt;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</si>
  <si>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.tg-bbrv{background-color:#808080;font-weight:bold;text-align:left;vertical-align:top}
.tg .tg-1wig{font-weight:bold;text-align:left;vertical-align:top}
.tg .tg-d0lk{background-color:#FF0;border-color:inherit;font-weight:bold;text-align:left;vertical-align:top}
.tg .tg-lqy6{text-align:right;vertical-align:top}
.tg .tg-nsox{background-color:#C00000;border-color:inherit;color:#FFF;font-weight:bold;text-align:center;vertical-align:top}
.tg .tg-dvpl{border-color:inherit;text-align:right;vertical-align:top}
.tg .tg-0pky{border-color:inherit;text-align:left;vertical-align:top}
.tg .tg-fymr{border-color:inherit;font-weight:bold;text-align:left;vertical-align:top}
.tg .tg-0lax{text-align:left;vertical-align:top}
.tg .tg-aiub{background-color:#FF0;font-weight:bold;text-align:left;vertical-align:top}
&lt;/style&gt;
&lt;table class='tg' style='undefined;table-layout: fixed; width: 461px'&gt;
&lt;colgroup&gt;
&lt;col style='width: 27px'&gt;
&lt;col style='width: 269px'&gt;
&lt;col style='width: 165px'&gt;
&lt;/colgroup&gt;
&lt;thead&gt;
  &lt;tr&gt;
    &lt;th class='tg-nsox'&gt;N°&lt;/th&gt;
    &lt;th class='tg-nsox'&gt;Requerimiento&lt;/th&gt;
    &lt;th class='tg-nsox'&gt;Cronograma&lt;/th&gt;
  &lt;/tr&gt;
&lt;/thead&gt;
&lt;tbody&gt;
  &lt;tr&gt;
    &lt;td class='tg-dvpl'&gt;1&lt;/td&gt;
    &lt;td class='tg-0pky'&gt;Extracción CRS –&amp;nbsp;&amp;nbsp;&amp;nbsp;pólizas vida – país de residencia fiscal&lt;/td&gt;
    &lt;td class='tg-fymr'&gt;Finalizado&lt;/td&gt;
  &lt;/tr&gt;
  &lt;tr&gt;
    &lt;td class='tg-dvpl'&gt;2&lt;/td&gt;
    &lt;td class='tg-0pky'&gt;Señales de alerta&lt;/td&gt;
    &lt;td class='tg-fymr'&gt;En curso&lt;/td&gt;
  &lt;/tr&gt;
  &lt;tr&gt;
    &lt;td class='tg-dvpl'&gt;3&lt;/td&gt;
    &lt;td class='tg-0pky'&gt;Gran&amp;nbsp;&amp;nbsp;&amp;nbsp;Tabla SBS&lt;/td&gt;
    &lt;td class='tg-fymr'&gt;Finalizado&lt;/td&gt;
  &lt;/tr&gt;
  &lt;tr&gt;
    &lt;td class='tg-dvpl'&gt;4&lt;/td&gt;
    &lt;td class='tg-0pky'&gt;Creación de campos&amp;nbsp;&amp;nbsp;&amp;nbsp;para registrar accionistas, socios, representantes legales y otros, en&amp;nbsp;&amp;nbsp;&amp;nbsp;OIM/MyDream/otros.&lt;/td&gt;
    &lt;td class='tg-fymr'&gt;En curso&lt;/td&gt;
  &lt;/tr&gt;
  &lt;tr&gt;
    &lt;td class='tg-dvpl'&gt;5&lt;/td&gt;
    &lt;td class='tg-0pky'&gt;Creación de&amp;nbsp;&amp;nbsp;&amp;nbsp;Control Técnico para nueva emisión de clientes con documentos distintos a&amp;nbsp;&amp;nbsp;&amp;nbsp;DNI, Carnet de Extranjería y RUC&lt;/td&gt;
    &lt;td class='tg-fymr'&gt;En curso&lt;/td&gt;
  &lt;/tr&gt;
  &lt;tr&gt;
    &lt;td class='tg-dvpl'&gt;6&lt;/td&gt;
    &lt;td class='tg-0pky'&gt;Información para&amp;nbsp;&amp;nbsp;&amp;nbsp;Scoring de clientes en línea&lt;/td&gt;
    &lt;td class='tg-d0lk'&gt;Pendiente//Ask&amp;nbsp;&amp;nbsp;&amp;nbsp;Alex R.&lt;/td&gt;
  &lt;/tr&gt;
  &lt;tr&gt;
    &lt;td class='tg-dvpl'&gt;7&lt;/td&gt;
    &lt;td class='tg-0pky'&gt;Automatizar los&amp;nbsp;&amp;nbsp;&amp;nbsp;Controles Técnicos de Emisión&lt;/td&gt;
    &lt;td class='tg-d0lk'&gt;Pendiente&lt;/td&gt;
  &lt;/tr&gt;
  &lt;tr&gt;
    &lt;td class='tg-dvpl'&gt;8&lt;/td&gt;
    &lt;td class='tg-0pky'&gt;Incorporar campos&amp;nbsp;&amp;nbsp;&amp;nbsp;de país de residencia fiscal (Link-Landing)&lt;/td&gt;
    &lt;td class='tg-fymr'&gt;En curso&lt;/td&gt;
  &lt;/tr&gt;
  &lt;tr&gt;
    &lt;td class='tg-lqy6'&gt;9&lt;/td&gt;
    &lt;td class='tg-0lax'&gt;Automatización de&amp;nbsp;&amp;nbsp;&amp;nbsp;aprobaciones de Controles Técnicos de órdenes de pago&lt;/td&gt;
    &lt;td class='tg-aiub'&gt;Pendiente&lt;/td&gt;
  &lt;/tr&gt;
  &lt;tr&gt;
    &lt;td class='tg-lqy6'&gt;10&lt;/td&gt;
    &lt;td class='tg-0lax'&gt;Crear lista de&amp;nbsp;&amp;nbsp;&amp;nbsp;clientes inelegibles &lt;/td&gt;
    &lt;td class='tg-bbrv'&gt; Rechazado&lt;/td&gt;
  &lt;/tr&gt;
  &lt;tr&gt;
    &lt;td class='tg-lqy6'&gt;11&lt;/td&gt;
    &lt;td class='tg-0lax'&gt;Actualizar la&amp;nbsp;&amp;nbsp;&amp;nbsp;Tabla de Clientes Sensibles (en B. Datos TRONWEB)&lt;/td&gt;
    &lt;td class='tg-1wig'&gt;Finalizado (en agosto)&lt;/td&gt;
  &lt;/tr&gt;
  &lt;tr&gt;
    &lt;td class='tg-lqy6'&gt;12&lt;/td&gt;
    &lt;td class='tg-0lax'&gt;Scoring&amp;nbsp;&amp;nbsp;&amp;nbsp;y Señales de Alerta – Automatizados con control de cambios (*)&lt;/td&gt;
    &lt;td class='tg-aiub'&gt;Pendiente&lt;/td&gt;
  &lt;/tr&gt;
&lt;/tbody&gt;
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</si>
</sst>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1" fillId="0" borderId="5" xfId="0" applyFont="1" applyBorder="1" applyAlignment="1"/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CC40-A3CE-4257-888A-36F1E3A94ADF}">
  <sheetPr codeName="Hoja2"/>
  <dimension ref="A1:I14"/>
  <sheetViews>
    <sheetView workbookViewId="0">
      <pane ySplit="2" topLeftCell="A3" activePane="bottomLeft" state="frozen"/>
      <selection pane="bottomLeft" activeCell="G1" sqref="G1:I1"/>
    </sheetView>
  </sheetViews>
  <sheetFormatPr baseColWidth="10" defaultRowHeight="14.4" x14ac:dyDescent="0.3"/>
  <cols>
    <col min="1" max="1" width="2.88671875" bestFit="1" customWidth="1"/>
    <col min="2" max="2" width="20" customWidth="1"/>
    <col min="3" max="3" width="13.44140625" bestFit="1" customWidth="1"/>
    <col min="4" max="4" width="46.21875" bestFit="1" customWidth="1"/>
    <col min="7" max="7" width="3" bestFit="1" customWidth="1"/>
    <col min="8" max="8" width="45.5546875" customWidth="1"/>
    <col min="9" max="9" width="19.5546875" bestFit="1" customWidth="1"/>
  </cols>
  <sheetData>
    <row r="1" spans="1:9" ht="15" thickBot="1" x14ac:dyDescent="0.35">
      <c r="A1" s="25" t="s">
        <v>55</v>
      </c>
      <c r="B1" s="25"/>
      <c r="C1" s="25"/>
      <c r="D1" s="25"/>
      <c r="G1" s="26" t="s">
        <v>81</v>
      </c>
      <c r="H1" s="26"/>
      <c r="I1" s="26"/>
    </row>
    <row r="2" spans="1:9" ht="28.2" customHeight="1" thickBot="1" x14ac:dyDescent="0.35">
      <c r="A2" s="8" t="s">
        <v>35</v>
      </c>
      <c r="B2" s="8" t="s">
        <v>36</v>
      </c>
      <c r="C2" s="8" t="s">
        <v>37</v>
      </c>
      <c r="D2" s="8" t="s">
        <v>38</v>
      </c>
      <c r="G2" s="8" t="s">
        <v>35</v>
      </c>
      <c r="H2" s="9" t="s">
        <v>63</v>
      </c>
      <c r="I2" s="9" t="s">
        <v>64</v>
      </c>
    </row>
    <row r="3" spans="1:9" ht="42" thickBot="1" x14ac:dyDescent="0.35">
      <c r="A3" s="20">
        <v>1</v>
      </c>
      <c r="B3" s="20" t="s">
        <v>39</v>
      </c>
      <c r="C3" s="21" t="s">
        <v>57</v>
      </c>
      <c r="D3" s="20" t="s">
        <v>56</v>
      </c>
      <c r="G3" s="10">
        <v>1</v>
      </c>
      <c r="H3" s="11" t="s">
        <v>65</v>
      </c>
      <c r="I3" s="12" t="s">
        <v>34</v>
      </c>
    </row>
    <row r="4" spans="1:9" ht="55.8" thickBot="1" x14ac:dyDescent="0.35">
      <c r="A4" s="20">
        <v>2</v>
      </c>
      <c r="B4" s="20" t="s">
        <v>40</v>
      </c>
      <c r="C4" s="21" t="s">
        <v>58</v>
      </c>
      <c r="D4" s="20" t="s">
        <v>59</v>
      </c>
      <c r="G4" s="10">
        <v>2</v>
      </c>
      <c r="H4" s="11" t="s">
        <v>66</v>
      </c>
      <c r="I4" s="12" t="s">
        <v>67</v>
      </c>
    </row>
    <row r="5" spans="1:9" ht="28.2" thickBot="1" x14ac:dyDescent="0.35">
      <c r="A5" s="20">
        <v>3</v>
      </c>
      <c r="B5" s="20" t="s">
        <v>41</v>
      </c>
      <c r="C5" s="20" t="s">
        <v>42</v>
      </c>
      <c r="D5" s="20" t="s">
        <v>43</v>
      </c>
      <c r="G5" s="10">
        <v>3</v>
      </c>
      <c r="H5" s="13" t="s">
        <v>68</v>
      </c>
      <c r="I5" s="14" t="s">
        <v>34</v>
      </c>
    </row>
    <row r="6" spans="1:9" ht="69.599999999999994" thickBot="1" x14ac:dyDescent="0.35">
      <c r="A6" s="20">
        <v>4</v>
      </c>
      <c r="B6" s="20" t="s">
        <v>44</v>
      </c>
      <c r="C6" s="21" t="s">
        <v>60</v>
      </c>
      <c r="D6" s="20" t="s">
        <v>61</v>
      </c>
      <c r="G6" s="10">
        <v>4</v>
      </c>
      <c r="H6" s="15" t="s">
        <v>69</v>
      </c>
      <c r="I6" s="12" t="s">
        <v>67</v>
      </c>
    </row>
    <row r="7" spans="1:9" ht="42" thickBot="1" x14ac:dyDescent="0.35">
      <c r="A7" s="20">
        <v>5</v>
      </c>
      <c r="B7" s="20" t="s">
        <v>45</v>
      </c>
      <c r="C7" s="21" t="s">
        <v>46</v>
      </c>
      <c r="D7" s="20" t="s">
        <v>47</v>
      </c>
      <c r="G7" s="10">
        <v>5</v>
      </c>
      <c r="H7" s="11" t="s">
        <v>70</v>
      </c>
      <c r="I7" s="12" t="s">
        <v>67</v>
      </c>
    </row>
    <row r="8" spans="1:9" ht="55.8" thickBot="1" x14ac:dyDescent="0.35">
      <c r="A8" s="20">
        <v>6</v>
      </c>
      <c r="B8" s="20" t="s">
        <v>48</v>
      </c>
      <c r="C8" s="21" t="s">
        <v>49</v>
      </c>
      <c r="D8" s="20" t="s">
        <v>62</v>
      </c>
      <c r="G8" s="10">
        <v>6</v>
      </c>
      <c r="H8" s="11" t="s">
        <v>71</v>
      </c>
      <c r="I8" s="16" t="s">
        <v>72</v>
      </c>
    </row>
    <row r="9" spans="1:9" ht="28.2" thickBot="1" x14ac:dyDescent="0.35">
      <c r="A9" s="20">
        <v>7</v>
      </c>
      <c r="B9" s="20" t="s">
        <v>50</v>
      </c>
      <c r="C9" s="21" t="s">
        <v>49</v>
      </c>
      <c r="D9" s="20" t="s">
        <v>51</v>
      </c>
      <c r="G9" s="10">
        <v>7</v>
      </c>
      <c r="H9" s="11" t="s">
        <v>73</v>
      </c>
      <c r="I9" s="16" t="s">
        <v>11</v>
      </c>
    </row>
    <row r="10" spans="1:9" ht="28.2" thickBot="1" x14ac:dyDescent="0.35">
      <c r="A10" s="20">
        <v>8</v>
      </c>
      <c r="B10" s="20" t="s">
        <v>52</v>
      </c>
      <c r="C10" s="21" t="s">
        <v>53</v>
      </c>
      <c r="D10" s="20" t="s">
        <v>54</v>
      </c>
      <c r="G10" s="10">
        <v>8</v>
      </c>
      <c r="H10" s="11" t="s">
        <v>74</v>
      </c>
      <c r="I10" s="12" t="s">
        <v>67</v>
      </c>
    </row>
    <row r="11" spans="1:9" ht="28.2" thickBot="1" x14ac:dyDescent="0.35">
      <c r="G11" s="10">
        <v>9</v>
      </c>
      <c r="H11" s="11" t="s">
        <v>75</v>
      </c>
      <c r="I11" s="16" t="s">
        <v>11</v>
      </c>
    </row>
    <row r="12" spans="1:9" ht="15" thickBot="1" x14ac:dyDescent="0.35">
      <c r="G12" s="10">
        <v>10</v>
      </c>
      <c r="H12" s="11" t="s">
        <v>76</v>
      </c>
      <c r="I12" s="17" t="s">
        <v>77</v>
      </c>
    </row>
    <row r="13" spans="1:9" ht="28.2" thickBot="1" x14ac:dyDescent="0.35">
      <c r="G13" s="10">
        <v>11</v>
      </c>
      <c r="H13" s="11" t="s">
        <v>78</v>
      </c>
      <c r="I13" s="12" t="s">
        <v>79</v>
      </c>
    </row>
    <row r="14" spans="1:9" ht="28.2" thickBot="1" x14ac:dyDescent="0.35">
      <c r="G14" s="18">
        <v>12</v>
      </c>
      <c r="H14" s="15" t="s">
        <v>80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4DB25-24C9-4012-BB29-D1757D5F02C9}">
  <sheetPr codeName="Hoja3"/>
  <dimension ref="A1:D2"/>
  <sheetViews>
    <sheetView workbookViewId="0">
      <selection activeCell="A2" sqref="A2"/>
    </sheetView>
  </sheetViews>
  <sheetFormatPr baseColWidth="10" defaultRowHeight="14.4" x14ac:dyDescent="0.3"/>
  <cols>
    <col min="1" max="1" width="89.109375" customWidth="1"/>
    <col min="2" max="2" width="91.5546875" bestFit="1" customWidth="1"/>
  </cols>
  <sheetData>
    <row r="1" spans="1:4" ht="15" thickBot="1" x14ac:dyDescent="0.35">
      <c r="A1" s="22" t="s">
        <v>55</v>
      </c>
      <c r="B1" s="24" t="s">
        <v>81</v>
      </c>
      <c r="C1" s="24"/>
      <c r="D1" s="24"/>
    </row>
    <row r="2" spans="1:4" ht="409.6" x14ac:dyDescent="0.3">
      <c r="A2" s="23" t="s">
        <v>86</v>
      </c>
      <c r="B2" s="23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A817-74A1-466E-A7B5-27586BEB22A8}">
  <sheetPr codeName="Hoja1"/>
  <dimension ref="A1:K7"/>
  <sheetViews>
    <sheetView tabSelected="1" topLeftCell="D1" zoomScale="70" zoomScaleNormal="70" workbookViewId="0">
      <selection activeCell="L5" sqref="L1:L1048576"/>
    </sheetView>
  </sheetViews>
  <sheetFormatPr baseColWidth="10" defaultRowHeight="14.4" x14ac:dyDescent="0.3"/>
  <cols>
    <col min="1" max="1" width="6.5546875" bestFit="1" customWidth="1"/>
    <col min="2" max="2" width="10.21875" style="7" bestFit="1" customWidth="1"/>
    <col min="3" max="3" width="9" customWidth="1"/>
    <col min="4" max="4" width="21" bestFit="1" customWidth="1"/>
    <col min="5" max="5" width="34.33203125" bestFit="1" customWidth="1"/>
    <col min="6" max="6" width="30.21875" bestFit="1" customWidth="1"/>
    <col min="7" max="7" width="11.109375" bestFit="1" customWidth="1"/>
    <col min="8" max="8" width="11.6640625" bestFit="1" customWidth="1"/>
    <col min="9" max="9" width="7.109375" bestFit="1" customWidth="1"/>
    <col min="10" max="10" width="18.77734375" customWidth="1"/>
    <col min="11" max="11" width="69.6640625" bestFit="1" customWidth="1"/>
  </cols>
  <sheetData>
    <row r="1" spans="1:11" x14ac:dyDescent="0.3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31</v>
      </c>
      <c r="G1" s="5" t="s">
        <v>32</v>
      </c>
      <c r="H1" s="5" t="s">
        <v>23</v>
      </c>
      <c r="I1" s="5" t="s">
        <v>6</v>
      </c>
      <c r="J1" s="5" t="s">
        <v>7</v>
      </c>
      <c r="K1" s="5" t="s">
        <v>10</v>
      </c>
    </row>
    <row r="2" spans="1:11" ht="108" x14ac:dyDescent="0.3">
      <c r="A2" s="6" t="s">
        <v>24</v>
      </c>
      <c r="B2" s="6" t="s">
        <v>25</v>
      </c>
      <c r="C2" s="1"/>
      <c r="D2" s="1" t="s">
        <v>27</v>
      </c>
      <c r="E2" s="2" t="s">
        <v>30</v>
      </c>
      <c r="F2" s="2"/>
      <c r="G2" s="2" t="s">
        <v>34</v>
      </c>
      <c r="H2" s="3">
        <v>44408</v>
      </c>
      <c r="I2" s="4">
        <f t="shared" ref="I2:I7" ca="1" si="0">H2-TODAY()</f>
        <v>-83</v>
      </c>
      <c r="J2" s="2"/>
      <c r="K2" s="1" t="s">
        <v>84</v>
      </c>
    </row>
    <row r="3" spans="1:11" ht="43.2" x14ac:dyDescent="0.3">
      <c r="A3" s="6" t="s">
        <v>20</v>
      </c>
      <c r="B3" s="6" t="s">
        <v>21</v>
      </c>
      <c r="C3" s="1">
        <v>2020</v>
      </c>
      <c r="D3" s="1" t="s">
        <v>26</v>
      </c>
      <c r="E3" s="2"/>
      <c r="F3" s="2" t="s">
        <v>22</v>
      </c>
      <c r="G3" s="2" t="s">
        <v>34</v>
      </c>
      <c r="H3" s="3">
        <v>44295</v>
      </c>
      <c r="I3" s="4">
        <f t="shared" ca="1" si="0"/>
        <v>-196</v>
      </c>
      <c r="J3" s="2"/>
      <c r="K3" s="1" t="s">
        <v>33</v>
      </c>
    </row>
    <row r="4" spans="1:11" ht="72" x14ac:dyDescent="0.3">
      <c r="A4" s="6" t="s">
        <v>18</v>
      </c>
      <c r="B4" s="6" t="s">
        <v>1</v>
      </c>
      <c r="C4" s="1">
        <v>2019</v>
      </c>
      <c r="D4" s="1" t="s">
        <v>28</v>
      </c>
      <c r="E4" s="2" t="s">
        <v>19</v>
      </c>
      <c r="F4" s="2"/>
      <c r="G4" s="2" t="s">
        <v>34</v>
      </c>
      <c r="H4" s="3">
        <v>44469</v>
      </c>
      <c r="I4" s="4">
        <f t="shared" ca="1" si="0"/>
        <v>-22</v>
      </c>
      <c r="J4" s="2"/>
      <c r="K4" s="1" t="s">
        <v>85</v>
      </c>
    </row>
    <row r="5" spans="1:11" ht="172.8" x14ac:dyDescent="0.3">
      <c r="A5" s="6" t="s">
        <v>16</v>
      </c>
      <c r="B5" s="6" t="s">
        <v>1</v>
      </c>
      <c r="C5" s="1">
        <v>2021</v>
      </c>
      <c r="D5" s="1" t="s">
        <v>29</v>
      </c>
      <c r="E5" s="2" t="s">
        <v>17</v>
      </c>
      <c r="F5" s="2"/>
      <c r="G5" s="2" t="s">
        <v>11</v>
      </c>
      <c r="H5" s="3">
        <v>44926</v>
      </c>
      <c r="I5" s="4">
        <f t="shared" ca="1" si="0"/>
        <v>435</v>
      </c>
      <c r="J5" s="2" t="s">
        <v>8</v>
      </c>
      <c r="K5" s="1" t="s">
        <v>82</v>
      </c>
    </row>
    <row r="6" spans="1:11" ht="343.2" customHeight="1" x14ac:dyDescent="0.3">
      <c r="A6" s="6" t="s">
        <v>16</v>
      </c>
      <c r="B6" s="6" t="s">
        <v>1</v>
      </c>
      <c r="C6" s="1">
        <v>2021</v>
      </c>
      <c r="D6" s="1" t="s">
        <v>29</v>
      </c>
      <c r="E6" s="2" t="s">
        <v>14</v>
      </c>
      <c r="F6" s="2"/>
      <c r="G6" s="2" t="s">
        <v>11</v>
      </c>
      <c r="H6" s="3">
        <v>44926</v>
      </c>
      <c r="I6" s="4">
        <f t="shared" ca="1" si="0"/>
        <v>435</v>
      </c>
      <c r="J6" s="2" t="s">
        <v>8</v>
      </c>
      <c r="K6" s="1" t="s">
        <v>83</v>
      </c>
    </row>
    <row r="7" spans="1:11" ht="43.2" x14ac:dyDescent="0.3">
      <c r="A7" s="6" t="s">
        <v>13</v>
      </c>
      <c r="B7" s="6" t="s">
        <v>2</v>
      </c>
      <c r="C7" s="1">
        <v>2020</v>
      </c>
      <c r="D7" s="1" t="s">
        <v>28</v>
      </c>
      <c r="E7" s="2" t="s">
        <v>5</v>
      </c>
      <c r="F7" s="2"/>
      <c r="G7" s="2" t="s">
        <v>11</v>
      </c>
      <c r="H7" s="3">
        <v>44530</v>
      </c>
      <c r="I7" s="4">
        <f t="shared" ca="1" si="0"/>
        <v>39</v>
      </c>
      <c r="J7" s="2" t="s">
        <v>8</v>
      </c>
      <c r="K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II</vt:lpstr>
      <vt:lpstr>II_html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2021-10-21T12:41:40Z</dcterms:created>
  <dcterms:modified xsi:type="dcterms:W3CDTF">2021-10-22T05:23:39Z</dcterms:modified>
</cp:coreProperties>
</file>