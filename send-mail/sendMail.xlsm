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Alin-Castillo\GitHub\Excel\.xlsm\"/>
    </mc:Choice>
  </mc:AlternateContent>
  <bookViews>
    <workbookView xWindow="-105" yWindow="495" windowWidth="23250" windowHeight="12570"/>
  </bookViews>
  <sheets>
    <sheet name="II" sheetId="2" r:id="rId1"/>
    <sheet name="II_html" sheetId="3" r:id="rId2"/>
    <sheet name="IV" sheetId="1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1" l="1"/>
  <c r="I3" i="1"/>
  <c r="I4" i="1"/>
  <c r="I5" i="1"/>
  <c r="I6" i="1"/>
  <c r="I7" i="1"/>
</calcChain>
</file>

<file path=xl/sharedStrings.xml><?xml version="1.0" encoding="utf-8"?>
<sst xmlns="http://schemas.openxmlformats.org/spreadsheetml/2006/main" count="111" uniqueCount="88">
  <si>
    <t>ID</t>
  </si>
  <si>
    <t>SBS - MP</t>
  </si>
  <si>
    <t>SBS - MPV</t>
  </si>
  <si>
    <t>VISITA</t>
  </si>
  <si>
    <t>RECOMENDACIÓN</t>
  </si>
  <si>
    <t>3.1. (AP) No se ha establecido la periodicidad para actualizar la calificación de riesgos de LAFT de los clientes.</t>
  </si>
  <si>
    <t>DÍAS</t>
  </si>
  <si>
    <t>RESPONSABLE</t>
  </si>
  <si>
    <t>Fátima Huamán</t>
  </si>
  <si>
    <t>Si bien se enviaron sustentos para dar como “Cerrado-Verificado” esta recomendación, a la fecha, la SBS nos ha indicado que falta determinar el tratamiento que se realizará a cada nivel de exposición.</t>
  </si>
  <si>
    <t>COMENTARIO UC</t>
  </si>
  <si>
    <t>Pendiente</t>
  </si>
  <si>
    <t>ABC</t>
  </si>
  <si>
    <t>e</t>
  </si>
  <si>
    <t>6.2. Inconsistencias detectadas en la identificación y evaluación de señales de alerta.</t>
  </si>
  <si>
    <t>INFO</t>
  </si>
  <si>
    <t>d</t>
  </si>
  <si>
    <t>6.1. Fallas en procesos y soporte tecnológico asociados a la prevención y gestión de riesgos de LA/FT</t>
  </si>
  <si>
    <t>c</t>
  </si>
  <si>
    <t>1.4. Deficiencias en la aplicación del procedimiento de debida diligencia para el conocimiento de clientes.</t>
  </si>
  <si>
    <t>b</t>
  </si>
  <si>
    <t>EY</t>
  </si>
  <si>
    <t>Ausencia de información de Accionistas.</t>
  </si>
  <si>
    <t>FECHA</t>
  </si>
  <si>
    <t>a</t>
  </si>
  <si>
    <t>UAI</t>
  </si>
  <si>
    <t xml:space="preserve">Seguimiento de recomendaciones de Auditoría Externa </t>
  </si>
  <si>
    <t>Seguimiento de recomendaciones de Auditoría Interna</t>
  </si>
  <si>
    <t>Seguimiento de recomendaciones de SBS</t>
  </si>
  <si>
    <t>Memo de cierre SBS</t>
  </si>
  <si>
    <t>4.2. Manual y Flujogramas desactualizados
Recomendación: evaluar y revisar los flujos existentes dentro del proceso y realizar la actualización de los mismos. Así también recomendamos revisar la información plasmada en el Manual a fin de tener identificado y actualizado dentro del mismo todas las actividades que se realizan y forman parte de los procedimientos realizados.</t>
  </si>
  <si>
    <t>OBSERVACIÓN</t>
  </si>
  <si>
    <t>ESTADO</t>
  </si>
  <si>
    <t>Los auditores externos de EY remitieron su Informe Definitivo LAFT, por la revisión del ejercicio 2020.</t>
  </si>
  <si>
    <t>Finalizado</t>
  </si>
  <si>
    <t>N°</t>
  </si>
  <si>
    <t>Tarea</t>
  </si>
  <si>
    <t>Estado</t>
  </si>
  <si>
    <t>Plazo máximo de entrega</t>
  </si>
  <si>
    <t>CRS 2018 y 2020</t>
  </si>
  <si>
    <t>Cuestionario LAFT 2020 (Gran Tabla SBS)</t>
  </si>
  <si>
    <t>Modelo de prevención – Nueva norma 2021.</t>
  </si>
  <si>
    <t>En Revisión.</t>
  </si>
  <si>
    <t>-</t>
  </si>
  <si>
    <t>Registro de Operaciones (BuildSoft)</t>
  </si>
  <si>
    <t>Campaña de Accionistas</t>
  </si>
  <si>
    <t>Ya iniciado.</t>
  </si>
  <si>
    <t>Campaña de actualización periódica (10-20-30).</t>
  </si>
  <si>
    <t>Evaluación de Riesgos Inherentes – 2021 // Inherent Risks Assemesment – 2021</t>
  </si>
  <si>
    <t>Pendiente.</t>
  </si>
  <si>
    <t>Informe de Riesgos por entidad</t>
  </si>
  <si>
    <t>A preguntar al Corporativo-Blanca Sanchez</t>
  </si>
  <si>
    <t>Informe de Nuevo producto</t>
  </si>
  <si>
    <t>En Proceso.</t>
  </si>
  <si>
    <t>Revisión de Cuestionario.</t>
  </si>
  <si>
    <t>PE 2021 UC y otros</t>
  </si>
  <si>
    <t>Fecha: 23/07/2021
Tanto de 2018 como 2020.
A la SUNAT y lo realiza U.Contabilidad.</t>
  </si>
  <si>
    <t xml:space="preserve">TERMINADO
con Estudio HU.
</t>
  </si>
  <si>
    <t>TERMINADO
 con T.I.</t>
  </si>
  <si>
    <t>15 d. luego del Directorio, junto con el Informe Semestral.
Fecha: 10/08/2021
Por el portal ISOC.
Se remitió Excel por MP y MPV.</t>
  </si>
  <si>
    <t>En Proceso
con T.I</t>
  </si>
  <si>
    <t>15 d. del mes siguiente.
A la espera que se envíe el RO de junio tanto de MP, que presentó errores en el envío. MPV también presentó problemas en julio, se envió en agosto.
Fecha: 21/07/2021.</t>
  </si>
  <si>
    <t>Enviado desde el Corporativo.
B-Wise.
Fecha: noviembre 2021.</t>
  </si>
  <si>
    <t>Requerimiento</t>
  </si>
  <si>
    <t>Cronograma</t>
  </si>
  <si>
    <t>Extracción CRS – pólizas vida – país de residencia fiscal</t>
  </si>
  <si>
    <t>Señales de alerta</t>
  </si>
  <si>
    <t>En curso</t>
  </si>
  <si>
    <t>Gran Tabla SBS</t>
  </si>
  <si>
    <t>Creación de campos para registrar accionistas, socios, representantes legales y otros, en OIM/MyDream/otros.</t>
  </si>
  <si>
    <t>Creación de Control Técnico para nueva emisión de clientes con documentos distintos a DNI, Carnet de Extranjería y RUC</t>
  </si>
  <si>
    <t>Información para Scoring de clientes en línea</t>
  </si>
  <si>
    <t>Pendiente//Ask Alex R.</t>
  </si>
  <si>
    <t>Automatizar los Controles Técnicos de Emisión</t>
  </si>
  <si>
    <t>Incorporar campos de país de residencia fiscal (Link-Landing)</t>
  </si>
  <si>
    <t>Automatización de aprobaciones de Controles Técnicos de órdenes de pago</t>
  </si>
  <si>
    <t xml:space="preserve">Crear lista de clientes inelegibles </t>
  </si>
  <si>
    <t> Rechazado</t>
  </si>
  <si>
    <t>Actualizar la Tabla de Clientes Sensibles (en B. Datos TRONWEB)</t>
  </si>
  <si>
    <r>
      <t xml:space="preserve">Finalizado </t>
    </r>
    <r>
      <rPr>
        <sz val="10"/>
        <color rgb="FF000000"/>
        <rFont val="Calibri"/>
        <family val="2"/>
      </rPr>
      <t>(en agosto)</t>
    </r>
  </si>
  <si>
    <r>
      <t xml:space="preserve">Scoring y Señales de Alerta – Automatizados con control de cambios </t>
    </r>
    <r>
      <rPr>
        <b/>
        <sz val="10"/>
        <color rgb="FF000000"/>
        <rFont val="Calibri"/>
        <family val="2"/>
      </rPr>
      <t>(*)</t>
    </r>
  </si>
  <si>
    <t>No Programados</t>
  </si>
  <si>
    <t>La Compañía continuará desarrollando acciones para obtener una adecuada identificación y registro de información de representantes legales, accionistas, socios y/o asociados de los clientes, según el régimen de debida diligencia que corresponda aplicar a cada cliente.
&lt;br&gt;
Asimismo, si bien se cuenta con la calificación de riesgo LA/FT por cliente, junto con la Unidad de T.I y Procesos se implementará mejoras en el procedimiento y controles que optimicen la visualización única de la calificación de riesgo de LA/FT de los clientes de la Compañía, implementación que contemplará los procedimientos para la gestión de cambios de los scripts usados. Debido a la complejidad sistémica y la asignación de recursos se incluirá en el Plan Estratégico de la Compañía 2022, realizando también una evaluación de software de terceros.</t>
  </si>
  <si>
    <t>a)	La Compañía actualizará el Manual de Prevención de LA/FT incluyendo mejoras en los criterios y el procedimiento de identificación de cada una de las alertas adoptadas por la empresa. Asimismo, se actualizará el contenido de las capacitaciones de empleados, funcionarios y directores incluyendo las recomendaciones propuestas.
El documento final, así como el programa de capacitación actualizado serán remitidos a la Superintendencia.
&lt;br&gt;
b)	La Compañía junto con la Unidad de T.I y Procesos implementará procedimientos y controles para una gestión adecuada de cambios de los scripts que ya se vienen utilizando, para la activación de las señales de alerta. Cabe señalar, que debido a la complejidad sistémica y la asignación de recursos se incluirá en el Plan Estratégico de la Compañía 2022, realizando también una evaluación de software de terceros.
La documentación de estas modificaciones será remitida a la Superintendencia.
&lt;br&gt;
c)	Si bien la Compañía ya cuenta con procesos y procedimientos de evaluación de señales de alerta, los mismos serán revisados para su optimización, contribuyendo a una mejora en el control de las operaciones.
La documentación de estas modificaciones será remitida a la Superintendencia.</t>
  </si>
  <si>
    <t>Se emitió el Informe de SPLAFT 2021, tanto de MP como MPV el 25 de enero.
&lt;br&gt;
Calificación: Buena con Excepciones.
&lt;br&gt;
Dos recomendaciones en proceso: una para la Unidad de Cumplimiento.</t>
  </si>
  <si>
    <t>MAPFRE utiliza un formato donde solicita a las empresas comuniquen sus accionistas/socios/asociados con más del 25%, sin embargo, actualizaremos el mismo para que quede claro el porcentaje de cada uno.
&lt;br&gt;
El nuevo formato será remitido a la Superintendencia.</t>
  </si>
  <si>
    <t>&lt;style type='text/css'&gt;
.tg  {border-collapse:collapse;border-spacing:0;}
.tg td{border-color:black;border-style:solid;border-width:1px;font-family:Arial, sans-serif;font-size:14px;
  overflow:hidden;padding:10px 5px;word-break:normal;}
.tg th{border-color:black;border-style:solid;border-width:1px;font-family:Arial, sans-serif;font-size:14px;
  font-weight:normal;overflow:hidden;padding:10px 5px;word-break:normal;}
.tg .tg-1wig{font-weight:bold;text-align:left;vertical-align:top}
.tg .tg-ihgq{background-color:#C00000;color:#FFF;font-weight:bold;text-align:center;vertical-align:top}
.tg .tg-0e6g{background-color:#C00000;color:#FFF;font-weight:bold;text-align:left;vertical-align:top}
.tg .tg-0lax{text-align:left;vertical-align:top}
&lt;/style&gt;
&lt;table class='tg' style='undefined;table-layout: fixed; width: 741px'&gt;
&lt;colgroup&gt;
&lt;col style='width: 27px'&gt;
&lt;col style='width: 210px'&gt;
&lt;col style='width: 140px'&gt;
&lt;col style='width: 364px'&gt;
&lt;/colgroup&gt;
&lt;thead&gt;
  &lt;tr&gt;
    &lt;th class='tg-ihgq'&gt;N°&lt;/th&gt;
    &lt;th class='tg-ihgq'&gt;Tarea&lt;/th&gt;
    &lt;th class='tg-0e6g'&gt;Estado&lt;/th&gt;
    &lt;th class='tg-ihgq'&gt;Plazo&amp;nbsp;&amp;nbsp;&amp;nbsp;máximo de entrega&lt;/th&gt;
  &lt;/tr&gt;
&lt;/thead&gt;
&lt;tbody&gt;
  &lt;tr&gt;
    &lt;td class='tg-0lax'&gt;1&lt;/td&gt;
    &lt;td class='tg-0lax'&gt;CRS 2018 y 2020&lt;/td&gt;
    &lt;td class='tg-1wig'&gt;TERMINADO&lt;br&gt;    con Estudio HU.&lt;/td&gt;
    &lt;td class='tg-0lax'&gt;Fecha: 23/07/2021&lt;br&gt;&amp;nbsp;&amp;nbsp;&amp;nbsp;&amp;nbsp;&amp;nbsp;Tanto de 2018 como 2020.&lt;br&gt;&amp;nbsp;&amp;nbsp;&amp;nbsp;&amp;nbsp;&amp;nbsp;A la SUNAT y lo realiza U.Contabilidad.&lt;/td&gt;
  &lt;/tr&gt;
  &lt;tr&gt;
    &lt;td class='tg-0lax'&gt;2&lt;/td&gt;
    &lt;td class='tg-0lax'&gt;Cuestionario LAFT 2020 (Gran Tabla SBS)&lt;/td&gt;
    &lt;td class='tg-1wig'&gt;TERMINADO&lt;br&gt;&amp;nbsp;&amp;nbsp;&amp;nbsp;&amp;nbsp;&amp;nbsp; con T.I.&lt;/td&gt;
    &lt;td class='tg-0lax'&gt;15 d. luego del Directorio, junto con el Informe Semestral.&lt;br&gt;&amp;nbsp;&amp;nbsp;&amp;nbsp;&amp;nbsp;&amp;nbsp;Fecha: 10/08/2021&lt;br&gt;&amp;nbsp;&amp;nbsp;&amp;nbsp;&amp;nbsp;&amp;nbsp;Por el portal ISOC.&lt;br&gt;&amp;nbsp;&amp;nbsp;&amp;nbsp;&amp;nbsp;&amp;nbsp;Se remitió Excel por MP y MPV.&lt;/td&gt;
  &lt;/tr&gt;
  &lt;tr&gt;
    &lt;td class='tg-0lax'&gt;3&lt;/td&gt;
    &lt;td class='tg-0lax'&gt;Modelo de prevención – Nueva norma 2021.&lt;/td&gt;
    &lt;td class='tg-0lax'&gt;En Revisión.&lt;/td&gt;
    &lt;td class='tg-0lax'&gt;-&lt;/td&gt;
  &lt;/tr&gt;
  &lt;tr&gt;
    &lt;td class='tg-0lax'&gt;4&lt;/td&gt;
    &lt;td class='tg-0lax'&gt;Registro de Operaciones (BuildSoft)&lt;/td&gt;
    &lt;td class='tg-1wig'&gt;En Proceso&lt;br&gt;&amp;nbsp;&amp;nbsp;&amp;nbsp;&amp;nbsp;&amp;nbsp;con T.I&lt;/td&gt;
    &lt;td class='tg-0lax'&gt;15 d. del mes siguiente.&lt;br&gt;&amp;nbsp;&amp;nbsp;&amp;nbsp;&amp;nbsp;&amp;nbsp;A la espera que se envíe el RO de junio tanto de MP, que presentó errores&amp;nbsp;&amp;nbsp;&amp;nbsp;en el envío. MPV también presentó problemas en julio, se envió en&amp;nbsp;&amp;nbsp;&amp;nbsp;agosto.&lt;br&gt;&amp;nbsp;&amp;nbsp;&amp;nbsp;&amp;nbsp;&amp;nbsp;Fecha: 21/07/2021.&lt;/td&gt;
  &lt;/tr&gt;
  &lt;tr&gt;
    &lt;td class='tg-0lax'&gt;5&lt;/td&gt;
    &lt;td class='tg-0lax'&gt;Campaña de Accionistas&lt;/td&gt;
    &lt;td class='tg-1wig'&gt;Ya iniciado.&lt;/td&gt;
    &lt;td class='tg-0lax'&gt;Campaña de actualización periódica (10-20-30).&lt;/td&gt;
  &lt;/tr&gt;
  &lt;tr&gt;
    &lt;td class='tg-0lax'&gt;6&lt;/td&gt;
    &lt;td class='tg-0lax'&gt;Evaluación de Riesgos Inherentes – 2021 // Inherent Risks Assemesment&amp;nbsp;&amp;nbsp;&amp;nbsp;– 2021&lt;/td&gt;
    &lt;td class='tg-1wig'&gt;Pendiente.&lt;/td&gt;
    &lt;td class='tg-0lax'&gt;Enviado desde el Corporativo.&lt;br&gt;&amp;nbsp;&amp;nbsp;&amp;nbsp;&amp;nbsp;&amp;nbsp;B-Wise.&lt;br&gt;&amp;nbsp;&amp;nbsp;&amp;nbsp;&amp;nbsp;&amp;nbsp;Fecha: noviembre 2021.&lt;/td&gt;
  &lt;/tr&gt;
  &lt;tr&gt;
    &lt;td class='tg-0lax'&gt;7&lt;/td&gt;
    &lt;td class='tg-0lax'&gt;Informe de Riesgos por entidad&lt;/td&gt;
    &lt;td class='tg-1wig'&gt;Pendiente.&lt;/td&gt;
    &lt;td class='tg-0lax'&gt;A preguntar al Corporativo-Blanca Sanchez&lt;/td&gt;
  &lt;/tr&gt;
  &lt;tr&gt;
    &lt;td class='tg-0lax'&gt;8&lt;/td&gt;
    &lt;td class='tg-0lax'&gt;Informe de Nuevo producto&lt;/td&gt;
    &lt;td class='tg-1wig'&gt;En Proceso.&lt;/td&gt;
    &lt;td class='tg-0lax'&gt;Revisión de Cuestionario.&lt;/td&gt;
  &lt;/tr&gt;
&lt;/tbody&gt;
&lt;/table&gt;</t>
  </si>
  <si>
    <t>&lt;style type='text/css'&gt;
.tg  {border-collapse:collapse;border-spacing:0;}
.tg td{border-color:black;border-style:solid;border-width:1px;font-family:Arial, sans-serif;font-size:14px;
  overflow:hidden;padding:10px 5px;word-break:normal;}
.tg th{border-color:black;border-style:solid;border-width:1px;font-family:Arial, sans-serif;font-size:14px;
  font-weight:normal;overflow:hidden;padding:10px 5px;word-break:normal;}
.tg .tg-bbrv{background-color:#808080;font-weight:bold;text-align:left;vertical-align:top}
.tg .tg-1wig{font-weight:bold;text-align:left;vertical-align:top}
.tg .tg-d0lk{background-color:#FF0;border-color:inherit;font-weight:bold;text-align:left;vertical-align:top}
.tg .tg-lqy6{text-align:right;vertical-align:top}
.tg .tg-nsox{background-color:#C00000;border-color:inherit;color:#FFF;font-weight:bold;text-align:center;vertical-align:top}
.tg .tg-dvpl{border-color:inherit;text-align:right;vertical-align:top}
.tg .tg-0pky{border-color:inherit;text-align:left;vertical-align:top}
.tg .tg-fymr{border-color:inherit;font-weight:bold;text-align:left;vertical-align:top}
.tg .tg-0lax{text-align:left;vertical-align:top}
.tg .tg-aiub{background-color:#FF0;font-weight:bold;text-align:left;vertical-align:top}
&lt;/style&gt;
&lt;table class='tg' style='undefined;table-layout: fixed; width: 461px'&gt;
&lt;colgroup&gt;
&lt;col style='width: 27px'&gt;
&lt;col style='width: 269px'&gt;
&lt;col style='width: 165px'&gt;
&lt;/colgroup&gt;
&lt;thead&gt;
  &lt;tr&gt;
    &lt;th class='tg-nsox'&gt;N°&lt;/th&gt;
    &lt;th class='tg-nsox'&gt;Requerimiento&lt;/th&gt;
    &lt;th class='tg-nsox'&gt;Cronograma&lt;/th&gt;
  &lt;/tr&gt;
&lt;/thead&gt;
&lt;tbody&gt;
  &lt;tr&gt;
    &lt;td class='tg-dvpl'&gt;1&lt;/td&gt;
    &lt;td class='tg-0pky'&gt;Extracción CRS –&amp;nbsp;&amp;nbsp;&amp;nbsp;pólizas vida – país de residencia fiscal&lt;/td&gt;
    &lt;td class='tg-fymr'&gt;Finalizado&lt;/td&gt;
  &lt;/tr&gt;
  &lt;tr&gt;
    &lt;td class='tg-dvpl'&gt;2&lt;/td&gt;
    &lt;td class='tg-0pky'&gt;Señales de alerta&lt;/td&gt;
    &lt;td class='tg-fymr'&gt;En curso&lt;/td&gt;
  &lt;/tr&gt;
  &lt;tr&gt;
    &lt;td class='tg-dvpl'&gt;3&lt;/td&gt;
    &lt;td class='tg-0pky'&gt;Gran&amp;nbsp;&amp;nbsp;&amp;nbsp;Tabla SBS&lt;/td&gt;
    &lt;td class='tg-fymr'&gt;Finalizado&lt;/td&gt;
  &lt;/tr&gt;
  &lt;tr&gt;
    &lt;td class='tg-dvpl'&gt;4&lt;/td&gt;
    &lt;td class='tg-0pky'&gt;Creación de campos&amp;nbsp;&amp;nbsp;&amp;nbsp;para registrar accionistas, socios, representantes legales y otros, en&amp;nbsp;&amp;nbsp;&amp;nbsp;OIM/MyDream/otros.&lt;/td&gt;
    &lt;td class='tg-fymr'&gt;En curso&lt;/td&gt;
  &lt;/tr&gt;
  &lt;tr&gt;
    &lt;td class='tg-dvpl'&gt;5&lt;/td&gt;
    &lt;td class='tg-0pky'&gt;Creación de&amp;nbsp;&amp;nbsp;&amp;nbsp;Control Técnico para nueva emisión de clientes con documentos distintos a&amp;nbsp;&amp;nbsp;&amp;nbsp;DNI, Carnet de Extranjería y RUC&lt;/td&gt;
    &lt;td class='tg-fymr'&gt;En curso&lt;/td&gt;
  &lt;/tr&gt;
  &lt;tr&gt;
    &lt;td class='tg-dvpl'&gt;6&lt;/td&gt;
    &lt;td class='tg-0pky'&gt;Información para&amp;nbsp;&amp;nbsp;&amp;nbsp;Scoring de clientes en línea&lt;/td&gt;
    &lt;td class='tg-d0lk'&gt;Pendiente//Ask&amp;nbsp;&amp;nbsp;&amp;nbsp;Alex R.&lt;/td&gt;
  &lt;/tr&gt;
  &lt;tr&gt;
    &lt;td class='tg-dvpl'&gt;7&lt;/td&gt;
    &lt;td class='tg-0pky'&gt;Automatizar los&amp;nbsp;&amp;nbsp;&amp;nbsp;Controles Técnicos de Emisión&lt;/td&gt;
    &lt;td class='tg-d0lk'&gt;Pendiente&lt;/td&gt;
  &lt;/tr&gt;
  &lt;tr&gt;
    &lt;td class='tg-dvpl'&gt;8&lt;/td&gt;
    &lt;td class='tg-0pky'&gt;Incorporar campos&amp;nbsp;&amp;nbsp;&amp;nbsp;de país de residencia fiscal (Link-Landing)&lt;/td&gt;
    &lt;td class='tg-fymr'&gt;En curso&lt;/td&gt;
  &lt;/tr&gt;
  &lt;tr&gt;
    &lt;td class='tg-lqy6'&gt;9&lt;/td&gt;
    &lt;td class='tg-0lax'&gt;Automatización de&amp;nbsp;&amp;nbsp;&amp;nbsp;aprobaciones de Controles Técnicos de órdenes de pago&lt;/td&gt;
    &lt;td class='tg-aiub'&gt;Pendiente&lt;/td&gt;
  &lt;/tr&gt;
  &lt;tr&gt;
    &lt;td class='tg-lqy6'&gt;10&lt;/td&gt;
    &lt;td class='tg-0lax'&gt;Crear lista de&amp;nbsp;&amp;nbsp;&amp;nbsp;clientes inelegibles &lt;/td&gt;
    &lt;td class='tg-bbrv'&gt; Rechazado&lt;/td&gt;
  &lt;/tr&gt;
  &lt;tr&gt;
    &lt;td class='tg-lqy6'&gt;11&lt;/td&gt;
    &lt;td class='tg-0lax'&gt;Actualizar la&amp;nbsp;&amp;nbsp;&amp;nbsp;Tabla de Clientes Sensibles (en B. Datos TRONWEB)&lt;/td&gt;
    &lt;td class='tg-1wig'&gt;Finalizado (en agosto)&lt;/td&gt;
  &lt;/tr&gt;
  &lt;tr&gt;
    &lt;td class='tg-lqy6'&gt;12&lt;/td&gt;
    &lt;td class='tg-0lax'&gt;Scoring&amp;nbsp;&amp;nbsp;&amp;nbsp;y Señales de Alerta – Automatizados con control de cambios (*)&lt;/td&gt;
    &lt;td class='tg-aiub'&gt;Pendiente&lt;/td&gt;
  &lt;/tr&gt;
&lt;/tbody&gt;
&lt;/table&gt;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</si>
</sst>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10"/>
      <color rgb="FFFFFFFF"/>
      <name val="Calibri"/>
      <family val="2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80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14" fontId="0" fillId="0" borderId="0" xfId="0" applyNumberFormat="1" applyAlignment="1">
      <alignment vertical="center" wrapText="1"/>
    </xf>
    <xf numFmtId="0" fontId="0" fillId="0" borderId="0" xfId="0" applyNumberFormat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right" vertical="center"/>
    </xf>
    <xf numFmtId="0" fontId="4" fillId="0" borderId="4" xfId="0" applyFont="1" applyBorder="1" applyAlignment="1">
      <alignment vertical="center" wrapText="1"/>
    </xf>
    <xf numFmtId="0" fontId="5" fillId="0" borderId="4" xfId="0" applyFont="1" applyBorder="1" applyAlignment="1">
      <alignment vertical="center" wrapText="1"/>
    </xf>
    <xf numFmtId="0" fontId="4" fillId="0" borderId="0" xfId="0" applyFont="1" applyAlignment="1">
      <alignment vertical="center"/>
    </xf>
    <xf numFmtId="0" fontId="5" fillId="0" borderId="3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5" fillId="3" borderId="4" xfId="0" applyFont="1" applyFill="1" applyBorder="1" applyAlignment="1">
      <alignment vertical="center" wrapText="1"/>
    </xf>
    <xf numFmtId="0" fontId="5" fillId="4" borderId="4" xfId="0" applyFont="1" applyFill="1" applyBorder="1" applyAlignment="1">
      <alignment vertical="center" wrapText="1"/>
    </xf>
    <xf numFmtId="0" fontId="4" fillId="0" borderId="1" xfId="0" applyFont="1" applyBorder="1" applyAlignment="1">
      <alignment horizontal="right" vertical="center"/>
    </xf>
    <xf numFmtId="0" fontId="5" fillId="3" borderId="2" xfId="0" applyFont="1" applyFill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1" fillId="0" borderId="0" xfId="0" applyFont="1" applyBorder="1" applyAlignment="1">
      <alignment vertical="center"/>
    </xf>
    <xf numFmtId="0" fontId="0" fillId="0" borderId="0" xfId="0" applyAlignment="1">
      <alignment wrapText="1"/>
    </xf>
    <xf numFmtId="0" fontId="1" fillId="0" borderId="5" xfId="0" applyFont="1" applyBorder="1" applyAlignment="1"/>
    <xf numFmtId="0" fontId="1" fillId="0" borderId="0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I14"/>
  <sheetViews>
    <sheetView tabSelected="1" workbookViewId="0">
      <pane ySplit="2" topLeftCell="A3" activePane="bottomLeft" state="frozen"/>
      <selection pane="bottomLeft" activeCell="A3" sqref="A3"/>
    </sheetView>
  </sheetViews>
  <sheetFormatPr baseColWidth="10" defaultRowHeight="15" x14ac:dyDescent="0.25"/>
  <cols>
    <col min="1" max="1" width="2.85546875" bestFit="1" customWidth="1"/>
    <col min="2" max="2" width="20" customWidth="1"/>
    <col min="3" max="3" width="13.42578125" bestFit="1" customWidth="1"/>
    <col min="4" max="4" width="46.28515625" bestFit="1" customWidth="1"/>
    <col min="7" max="7" width="3" bestFit="1" customWidth="1"/>
    <col min="8" max="8" width="45.5703125" customWidth="1"/>
    <col min="9" max="9" width="19.5703125" bestFit="1" customWidth="1"/>
  </cols>
  <sheetData>
    <row r="1" spans="1:9" ht="15.75" thickBot="1" x14ac:dyDescent="0.3">
      <c r="A1" s="25" t="s">
        <v>55</v>
      </c>
      <c r="B1" s="25"/>
      <c r="C1" s="25"/>
      <c r="D1" s="25"/>
      <c r="G1" s="26" t="s">
        <v>81</v>
      </c>
      <c r="H1" s="26"/>
      <c r="I1" s="26"/>
    </row>
    <row r="2" spans="1:9" ht="28.15" customHeight="1" thickBot="1" x14ac:dyDescent="0.3">
      <c r="A2" s="8" t="s">
        <v>35</v>
      </c>
      <c r="B2" s="8" t="s">
        <v>36</v>
      </c>
      <c r="C2" s="8" t="s">
        <v>37</v>
      </c>
      <c r="D2" s="8" t="s">
        <v>38</v>
      </c>
      <c r="G2" s="8" t="s">
        <v>35</v>
      </c>
      <c r="H2" s="9" t="s">
        <v>63</v>
      </c>
      <c r="I2" s="9" t="s">
        <v>64</v>
      </c>
    </row>
    <row r="3" spans="1:9" ht="39" thickBot="1" x14ac:dyDescent="0.3">
      <c r="A3" s="20">
        <v>1</v>
      </c>
      <c r="B3" s="20" t="s">
        <v>39</v>
      </c>
      <c r="C3" s="21" t="s">
        <v>57</v>
      </c>
      <c r="D3" s="20" t="s">
        <v>56</v>
      </c>
      <c r="G3" s="10">
        <v>1</v>
      </c>
      <c r="H3" s="11" t="s">
        <v>65</v>
      </c>
      <c r="I3" s="12" t="s">
        <v>34</v>
      </c>
    </row>
    <row r="4" spans="1:9" ht="64.5" thickBot="1" x14ac:dyDescent="0.3">
      <c r="A4" s="20">
        <v>2</v>
      </c>
      <c r="B4" s="20" t="s">
        <v>40</v>
      </c>
      <c r="C4" s="21" t="s">
        <v>58</v>
      </c>
      <c r="D4" s="20" t="s">
        <v>59</v>
      </c>
      <c r="G4" s="10">
        <v>2</v>
      </c>
      <c r="H4" s="11" t="s">
        <v>66</v>
      </c>
      <c r="I4" s="12" t="s">
        <v>67</v>
      </c>
    </row>
    <row r="5" spans="1:9" ht="26.25" thickBot="1" x14ac:dyDescent="0.3">
      <c r="A5" s="20">
        <v>3</v>
      </c>
      <c r="B5" s="20" t="s">
        <v>41</v>
      </c>
      <c r="C5" s="20" t="s">
        <v>42</v>
      </c>
      <c r="D5" s="20" t="s">
        <v>43</v>
      </c>
      <c r="G5" s="10">
        <v>3</v>
      </c>
      <c r="H5" s="13" t="s">
        <v>68</v>
      </c>
      <c r="I5" s="14" t="s">
        <v>34</v>
      </c>
    </row>
    <row r="6" spans="1:9" ht="64.5" thickBot="1" x14ac:dyDescent="0.3">
      <c r="A6" s="20">
        <v>4</v>
      </c>
      <c r="B6" s="20" t="s">
        <v>44</v>
      </c>
      <c r="C6" s="21" t="s">
        <v>60</v>
      </c>
      <c r="D6" s="20" t="s">
        <v>61</v>
      </c>
      <c r="G6" s="10">
        <v>4</v>
      </c>
      <c r="H6" s="15" t="s">
        <v>69</v>
      </c>
      <c r="I6" s="12" t="s">
        <v>67</v>
      </c>
    </row>
    <row r="7" spans="1:9" ht="39" thickBot="1" x14ac:dyDescent="0.3">
      <c r="A7" s="20">
        <v>5</v>
      </c>
      <c r="B7" s="20" t="s">
        <v>45</v>
      </c>
      <c r="C7" s="21" t="s">
        <v>46</v>
      </c>
      <c r="D7" s="20" t="s">
        <v>47</v>
      </c>
      <c r="G7" s="10">
        <v>5</v>
      </c>
      <c r="H7" s="11" t="s">
        <v>70</v>
      </c>
      <c r="I7" s="12" t="s">
        <v>67</v>
      </c>
    </row>
    <row r="8" spans="1:9" ht="51.75" thickBot="1" x14ac:dyDescent="0.3">
      <c r="A8" s="20">
        <v>6</v>
      </c>
      <c r="B8" s="20" t="s">
        <v>48</v>
      </c>
      <c r="C8" s="21" t="s">
        <v>49</v>
      </c>
      <c r="D8" s="20" t="s">
        <v>62</v>
      </c>
      <c r="G8" s="10">
        <v>6</v>
      </c>
      <c r="H8" s="11" t="s">
        <v>71</v>
      </c>
      <c r="I8" s="16" t="s">
        <v>72</v>
      </c>
    </row>
    <row r="9" spans="1:9" ht="26.25" thickBot="1" x14ac:dyDescent="0.3">
      <c r="A9" s="20">
        <v>7</v>
      </c>
      <c r="B9" s="20" t="s">
        <v>50</v>
      </c>
      <c r="C9" s="21" t="s">
        <v>49</v>
      </c>
      <c r="D9" s="20" t="s">
        <v>51</v>
      </c>
      <c r="G9" s="10">
        <v>7</v>
      </c>
      <c r="H9" s="11" t="s">
        <v>73</v>
      </c>
      <c r="I9" s="16" t="s">
        <v>11</v>
      </c>
    </row>
    <row r="10" spans="1:9" ht="26.25" thickBot="1" x14ac:dyDescent="0.3">
      <c r="A10" s="20">
        <v>8</v>
      </c>
      <c r="B10" s="20" t="s">
        <v>52</v>
      </c>
      <c r="C10" s="21" t="s">
        <v>53</v>
      </c>
      <c r="D10" s="20" t="s">
        <v>54</v>
      </c>
      <c r="G10" s="10">
        <v>8</v>
      </c>
      <c r="H10" s="11" t="s">
        <v>74</v>
      </c>
      <c r="I10" s="12" t="s">
        <v>67</v>
      </c>
    </row>
    <row r="11" spans="1:9" ht="26.25" thickBot="1" x14ac:dyDescent="0.3">
      <c r="G11" s="10">
        <v>9</v>
      </c>
      <c r="H11" s="11" t="s">
        <v>75</v>
      </c>
      <c r="I11" s="16" t="s">
        <v>11</v>
      </c>
    </row>
    <row r="12" spans="1:9" ht="15.75" thickBot="1" x14ac:dyDescent="0.3">
      <c r="G12" s="10">
        <v>10</v>
      </c>
      <c r="H12" s="11" t="s">
        <v>76</v>
      </c>
      <c r="I12" s="17" t="s">
        <v>77</v>
      </c>
    </row>
    <row r="13" spans="1:9" ht="26.25" thickBot="1" x14ac:dyDescent="0.3">
      <c r="G13" s="10">
        <v>11</v>
      </c>
      <c r="H13" s="11" t="s">
        <v>78</v>
      </c>
      <c r="I13" s="12" t="s">
        <v>79</v>
      </c>
    </row>
    <row r="14" spans="1:9" ht="26.25" thickBot="1" x14ac:dyDescent="0.3">
      <c r="G14" s="18">
        <v>12</v>
      </c>
      <c r="H14" s="15" t="s">
        <v>80</v>
      </c>
      <c r="I14" s="19" t="s">
        <v>11</v>
      </c>
    </row>
  </sheetData>
  <mergeCells count="2">
    <mergeCell ref="A1:D1"/>
    <mergeCell ref="G1:I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2"/>
  <sheetViews>
    <sheetView workbookViewId="0">
      <selection activeCell="A2" sqref="A2"/>
    </sheetView>
  </sheetViews>
  <sheetFormatPr baseColWidth="10" defaultRowHeight="15" x14ac:dyDescent="0.25"/>
  <cols>
    <col min="1" max="1" width="89.140625" customWidth="1"/>
    <col min="2" max="2" width="91.5703125" bestFit="1" customWidth="1"/>
  </cols>
  <sheetData>
    <row r="1" spans="1:4" ht="15.75" thickBot="1" x14ac:dyDescent="0.3">
      <c r="A1" s="22" t="s">
        <v>55</v>
      </c>
      <c r="B1" s="24" t="s">
        <v>81</v>
      </c>
      <c r="C1" s="24"/>
      <c r="D1" s="24"/>
    </row>
    <row r="2" spans="1:4" ht="409.5" x14ac:dyDescent="0.25">
      <c r="A2" s="23" t="s">
        <v>86</v>
      </c>
      <c r="B2" s="23" t="s">
        <v>87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7"/>
  <sheetViews>
    <sheetView topLeftCell="D1" zoomScale="70" zoomScaleNormal="70" workbookViewId="0">
      <selection activeCell="L5" sqref="L1:L1048576"/>
    </sheetView>
  </sheetViews>
  <sheetFormatPr baseColWidth="10" defaultRowHeight="15" x14ac:dyDescent="0.25"/>
  <cols>
    <col min="1" max="1" width="6.5703125" bestFit="1" customWidth="1"/>
    <col min="2" max="2" width="10.28515625" style="7" bestFit="1" customWidth="1"/>
    <col min="3" max="3" width="9" customWidth="1"/>
    <col min="4" max="4" width="21" bestFit="1" customWidth="1"/>
    <col min="5" max="5" width="34.28515625" bestFit="1" customWidth="1"/>
    <col min="6" max="6" width="30.28515625" bestFit="1" customWidth="1"/>
    <col min="7" max="7" width="11.140625" bestFit="1" customWidth="1"/>
    <col min="8" max="8" width="11.7109375" bestFit="1" customWidth="1"/>
    <col min="9" max="9" width="7.140625" bestFit="1" customWidth="1"/>
    <col min="10" max="10" width="18.7109375" customWidth="1"/>
    <col min="11" max="11" width="69.7109375" bestFit="1" customWidth="1"/>
  </cols>
  <sheetData>
    <row r="1" spans="1:11" x14ac:dyDescent="0.25">
      <c r="A1" s="5" t="s">
        <v>12</v>
      </c>
      <c r="B1" s="5" t="s">
        <v>0</v>
      </c>
      <c r="C1" s="5" t="s">
        <v>3</v>
      </c>
      <c r="D1" s="5" t="s">
        <v>15</v>
      </c>
      <c r="E1" s="5" t="s">
        <v>4</v>
      </c>
      <c r="F1" s="5" t="s">
        <v>31</v>
      </c>
      <c r="G1" s="5" t="s">
        <v>32</v>
      </c>
      <c r="H1" s="5" t="s">
        <v>23</v>
      </c>
      <c r="I1" s="5" t="s">
        <v>6</v>
      </c>
      <c r="J1" s="5" t="s">
        <v>7</v>
      </c>
      <c r="K1" s="5" t="s">
        <v>10</v>
      </c>
    </row>
    <row r="2" spans="1:11" ht="132" x14ac:dyDescent="0.25">
      <c r="A2" s="6" t="s">
        <v>24</v>
      </c>
      <c r="B2" s="6" t="s">
        <v>25</v>
      </c>
      <c r="C2" s="1"/>
      <c r="D2" s="1" t="s">
        <v>27</v>
      </c>
      <c r="E2" s="2" t="s">
        <v>30</v>
      </c>
      <c r="F2" s="2"/>
      <c r="G2" s="2" t="s">
        <v>34</v>
      </c>
      <c r="H2" s="3">
        <v>44408</v>
      </c>
      <c r="I2" s="4">
        <f t="shared" ref="I2:I7" ca="1" si="0">H2-TODAY()</f>
        <v>-275</v>
      </c>
      <c r="J2" s="2"/>
      <c r="K2" s="1" t="s">
        <v>84</v>
      </c>
    </row>
    <row r="3" spans="1:11" ht="45" x14ac:dyDescent="0.25">
      <c r="A3" s="6" t="s">
        <v>20</v>
      </c>
      <c r="B3" s="6" t="s">
        <v>21</v>
      </c>
      <c r="C3" s="1">
        <v>2020</v>
      </c>
      <c r="D3" s="1" t="s">
        <v>26</v>
      </c>
      <c r="E3" s="2"/>
      <c r="F3" s="2" t="s">
        <v>22</v>
      </c>
      <c r="G3" s="2" t="s">
        <v>34</v>
      </c>
      <c r="H3" s="3">
        <v>44295</v>
      </c>
      <c r="I3" s="4">
        <f t="shared" ca="1" si="0"/>
        <v>-388</v>
      </c>
      <c r="J3" s="2"/>
      <c r="K3" s="1" t="s">
        <v>33</v>
      </c>
    </row>
    <row r="4" spans="1:11" ht="75" x14ac:dyDescent="0.25">
      <c r="A4" s="6" t="s">
        <v>18</v>
      </c>
      <c r="B4" s="6" t="s">
        <v>1</v>
      </c>
      <c r="C4" s="1">
        <v>2019</v>
      </c>
      <c r="D4" s="1" t="s">
        <v>28</v>
      </c>
      <c r="E4" s="2" t="s">
        <v>19</v>
      </c>
      <c r="F4" s="2"/>
      <c r="G4" s="2" t="s">
        <v>34</v>
      </c>
      <c r="H4" s="3">
        <v>44469</v>
      </c>
      <c r="I4" s="4">
        <f t="shared" ca="1" si="0"/>
        <v>-214</v>
      </c>
      <c r="J4" s="2"/>
      <c r="K4" s="1" t="s">
        <v>85</v>
      </c>
    </row>
    <row r="5" spans="1:11" ht="195" x14ac:dyDescent="0.25">
      <c r="A5" s="6" t="s">
        <v>16</v>
      </c>
      <c r="B5" s="6" t="s">
        <v>1</v>
      </c>
      <c r="C5" s="1">
        <v>2021</v>
      </c>
      <c r="D5" s="1" t="s">
        <v>29</v>
      </c>
      <c r="E5" s="2" t="s">
        <v>17</v>
      </c>
      <c r="F5" s="2"/>
      <c r="G5" s="2" t="s">
        <v>11</v>
      </c>
      <c r="H5" s="3">
        <v>44926</v>
      </c>
      <c r="I5" s="4">
        <f t="shared" ca="1" si="0"/>
        <v>243</v>
      </c>
      <c r="J5" s="2" t="s">
        <v>8</v>
      </c>
      <c r="K5" s="1" t="s">
        <v>82</v>
      </c>
    </row>
    <row r="6" spans="1:11" ht="343.15" customHeight="1" x14ac:dyDescent="0.25">
      <c r="A6" s="6" t="s">
        <v>16</v>
      </c>
      <c r="B6" s="6" t="s">
        <v>1</v>
      </c>
      <c r="C6" s="1">
        <v>2021</v>
      </c>
      <c r="D6" s="1" t="s">
        <v>29</v>
      </c>
      <c r="E6" s="2" t="s">
        <v>14</v>
      </c>
      <c r="F6" s="2"/>
      <c r="G6" s="2" t="s">
        <v>11</v>
      </c>
      <c r="H6" s="3">
        <v>44926</v>
      </c>
      <c r="I6" s="4">
        <f t="shared" ca="1" si="0"/>
        <v>243</v>
      </c>
      <c r="J6" s="2" t="s">
        <v>8</v>
      </c>
      <c r="K6" s="1" t="s">
        <v>83</v>
      </c>
    </row>
    <row r="7" spans="1:11" ht="48" x14ac:dyDescent="0.25">
      <c r="A7" s="6" t="s">
        <v>13</v>
      </c>
      <c r="B7" s="6" t="s">
        <v>2</v>
      </c>
      <c r="C7" s="1">
        <v>2020</v>
      </c>
      <c r="D7" s="1" t="s">
        <v>28</v>
      </c>
      <c r="E7" s="2" t="s">
        <v>5</v>
      </c>
      <c r="F7" s="2"/>
      <c r="G7" s="2" t="s">
        <v>11</v>
      </c>
      <c r="H7" s="3">
        <v>44530</v>
      </c>
      <c r="I7" s="4">
        <f t="shared" ca="1" si="0"/>
        <v>-153</v>
      </c>
      <c r="J7" s="2" t="s">
        <v>8</v>
      </c>
      <c r="K7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II</vt:lpstr>
      <vt:lpstr>II_html</vt:lpstr>
      <vt:lpstr>IV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ALÍN ROBERT CASTILLO MEDINA</dc:creator>
  <cp:lastModifiedBy>Castillo Medina, Alin Robert</cp:lastModifiedBy>
  <dcterms:created xsi:type="dcterms:W3CDTF">2021-10-21T12:41:40Z</dcterms:created>
  <dcterms:modified xsi:type="dcterms:W3CDTF">2022-05-02T13:46:54Z</dcterms:modified>
</cp:coreProperties>
</file>