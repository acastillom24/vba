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vba\web-scraping\mytron\"/>
    </mc:Choice>
  </mc:AlternateContent>
  <bookViews>
    <workbookView xWindow="-105" yWindow="495" windowWidth="17355" windowHeight="5130"/>
  </bookViews>
  <sheets>
    <sheet name="CorregirDatos" sheetId="2" r:id="rId1"/>
  </sheets>
  <definedNames>
    <definedName name="_xlnm._FilterDatabase" localSheetId="0" hidden="1">CorregirDatos!$A$1:$E$21</definedName>
    <definedName name="data" localSheetId="0">CorregirDatos!#REF!</definedName>
    <definedName name="data_1" localSheetId="0">CorregirDatos!$A$2:$C$21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</calcChain>
</file>

<file path=xl/connections.xml><?xml version="1.0" encoding="utf-8"?>
<connections xmlns="http://schemas.openxmlformats.org/spreadsheetml/2006/main">
  <connection id="1" name="data1" type="6" refreshedVersion="6" background="1" saveData="1">
    <textPr sourceFile="D:\Alin-Castillo\GitHub\vba\web-scraping\mytron\data.csv" tab="0" delimiter="|">
      <textFields count="3"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<sst xmlns="http://schemas.openxmlformats.org/spreadsheetml/2006/main" count="74" uniqueCount="47">
  <si>
    <t>TIP_DOCUM</t>
  </si>
  <si>
    <t>COD_DOCUM</t>
  </si>
  <si>
    <t>PEX</t>
  </si>
  <si>
    <t>RUC</t>
  </si>
  <si>
    <t>NOMBRE_O_RAZON_SOCIAL</t>
  </si>
  <si>
    <t>DNI</t>
  </si>
  <si>
    <t xml:space="preserve"> 08217709</t>
  </si>
  <si>
    <t>GONZALO FERRARO REY</t>
  </si>
  <si>
    <t xml:space="preserve">06262240 </t>
  </si>
  <si>
    <t xml:space="preserve">CARLOS VEGA ROMERO  </t>
  </si>
  <si>
    <t xml:space="preserve">19899733  </t>
  </si>
  <si>
    <t xml:space="preserve">OSCAR  NICANOR RUIZ CONDE  </t>
  </si>
  <si>
    <t xml:space="preserve">31667318 </t>
  </si>
  <si>
    <t xml:space="preserve">RICHARD LEE ROJAS CASTILLO    </t>
  </si>
  <si>
    <t xml:space="preserve">31673978 </t>
  </si>
  <si>
    <t xml:space="preserve">LUIS  ROBERTO VERGARA GABRÍEL </t>
  </si>
  <si>
    <t xml:space="preserve">32643708 </t>
  </si>
  <si>
    <t>NICOLÁS FREDY MOLINA  SANCHEZ</t>
  </si>
  <si>
    <t xml:space="preserve">32820445 </t>
  </si>
  <si>
    <t>LUIS  HUMBERTO ARROYO ROJAS</t>
  </si>
  <si>
    <t xml:space="preserve">32906609 </t>
  </si>
  <si>
    <t xml:space="preserve">CÉSAR  JOAQUÍN  ÁLVAREZ  AGUILAR    </t>
  </si>
  <si>
    <t xml:space="preserve">32939908  </t>
  </si>
  <si>
    <t>RAFAEL YURI  PEREZ  REYES</t>
  </si>
  <si>
    <t xml:space="preserve">80537775 </t>
  </si>
  <si>
    <t xml:space="preserve">NELSON JENNY GREGORIO  TREJO    </t>
  </si>
  <si>
    <t>RECIBIDO 29-05-2017</t>
  </si>
  <si>
    <t>CAMPOS CORREA EUSEBIO</t>
  </si>
  <si>
    <t>PTP 000716942</t>
  </si>
  <si>
    <t>EDUARDO JESUS RAMOS TRAVIESO</t>
  </si>
  <si>
    <t>PTP 000837573</t>
  </si>
  <si>
    <t>YULEIXI DAYANA  GONZÁLEZ TERAN</t>
  </si>
  <si>
    <t>PTP 001918074</t>
  </si>
  <si>
    <t>KEVIN JOSEIN RAMIREZ ROJAS</t>
  </si>
  <si>
    <t>PTP 002284640</t>
  </si>
  <si>
    <t>CARGIL ALEXANDRA CEDEÑO SÁNCHEZ</t>
  </si>
  <si>
    <t>PTP 002938243</t>
  </si>
  <si>
    <t>CARLOS DANIEL MANZANILLLO MORALES</t>
  </si>
  <si>
    <t>PTP 004000356</t>
  </si>
  <si>
    <t>IIYANA FREIDNIMAR VILLEGAS VILLEGAS</t>
  </si>
  <si>
    <t>PTP 2416727</t>
  </si>
  <si>
    <t>DAIMELIS NIRBETH GONZALES GONZALES</t>
  </si>
  <si>
    <t>PTP 502013148</t>
  </si>
  <si>
    <t>JOSÉ VICENTE LAUCHO PINO</t>
  </si>
  <si>
    <t xml:space="preserve"> COMERCIALIZADORA FE</t>
  </si>
  <si>
    <t>COMERCIALIZADORA FERRETERA LKM E.I.R.L</t>
  </si>
  <si>
    <t>Corregido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</si>
</sst>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/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0</xdr:row>
          <xdr:rowOff>9525</xdr:rowOff>
        </xdr:from>
        <xdr:to>
          <xdr:col>4</xdr:col>
          <xdr:colOff>628650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rregirData"/>
  <dimension ref="A1:E21"/>
  <sheetViews>
    <sheetView tabSelected="1" workbookViewId="0">
      <pane ySplit="1" topLeftCell="A2" activePane="bottomLeft" state="frozen"/>
      <selection pane="bottomLeft" activeCell="C23" sqref="C23"/>
    </sheetView>
  </sheetViews>
  <sheetFormatPr baseColWidth="10" defaultRowHeight="15" x14ac:dyDescent="0.25"/>
  <cols>
    <col min="1" max="1" width="11.5703125" customWidth="1"/>
    <col min="2" max="2" width="22.42578125" bestFit="1" customWidth="1"/>
    <col min="3" max="3" width="71.42578125" customWidth="1"/>
    <col min="4" max="4" width="22" bestFit="1" customWidth="1"/>
  </cols>
  <sheetData>
    <row r="1" spans="1:5" s="4" customFormat="1" x14ac:dyDescent="0.25">
      <c r="A1" s="2" t="s">
        <v>0</v>
      </c>
      <c r="B1" s="3" t="s">
        <v>1</v>
      </c>
      <c r="C1" s="3" t="s">
        <v>4</v>
      </c>
      <c r="D1" s="2" t="s">
        <v>1</v>
      </c>
    </row>
    <row r="2" spans="1:5" x14ac:dyDescent="0.25">
      <c r="A2" s="5" t="s">
        <v>5</v>
      </c>
      <c r="B2" s="5" t="s">
        <v>26</v>
      </c>
      <c r="C2" s="5" t="s">
        <v>27</v>
      </c>
      <c r="D2" s="1" t="str">
        <f>SUBSTITUTE(TRIM(B2),"?","")</f>
        <v>RECIBIDO 29-05-2017</v>
      </c>
      <c r="E2" t="s">
        <v>46</v>
      </c>
    </row>
    <row r="3" spans="1:5" x14ac:dyDescent="0.25">
      <c r="A3" s="5" t="s">
        <v>2</v>
      </c>
      <c r="B3" s="5" t="s">
        <v>28</v>
      </c>
      <c r="C3" s="5" t="s">
        <v>29</v>
      </c>
      <c r="D3" s="1" t="str">
        <f>SUBSTITUTE(TRIM(B3),"?","")</f>
        <v>PTP 000716942</v>
      </c>
      <c r="E3" t="s">
        <v>46</v>
      </c>
    </row>
    <row r="4" spans="1:5" x14ac:dyDescent="0.25">
      <c r="A4" s="5" t="s">
        <v>2</v>
      </c>
      <c r="B4" s="5" t="s">
        <v>30</v>
      </c>
      <c r="C4" s="5" t="s">
        <v>31</v>
      </c>
      <c r="D4" s="1" t="str">
        <f>SUBSTITUTE(TRIM(B4),"?","")</f>
        <v>PTP 000837573</v>
      </c>
      <c r="E4" t="s">
        <v>46</v>
      </c>
    </row>
    <row r="5" spans="1:5" x14ac:dyDescent="0.25">
      <c r="A5" s="5" t="s">
        <v>2</v>
      </c>
      <c r="B5" s="5" t="s">
        <v>32</v>
      </c>
      <c r="C5" s="5" t="s">
        <v>33</v>
      </c>
      <c r="D5" s="1" t="str">
        <f>SUBSTITUTE(TRIM(B5),"?","")</f>
        <v>PTP 001918074</v>
      </c>
      <c r="E5" t="s">
        <v>46</v>
      </c>
    </row>
    <row r="6" spans="1:5" x14ac:dyDescent="0.25">
      <c r="A6" s="5" t="s">
        <v>2</v>
      </c>
      <c r="B6" s="5" t="s">
        <v>34</v>
      </c>
      <c r="C6" s="5" t="s">
        <v>35</v>
      </c>
      <c r="D6" s="1" t="str">
        <f>SUBSTITUTE(TRIM(B6),"?","")</f>
        <v>PTP 002284640</v>
      </c>
      <c r="E6" t="s">
        <v>46</v>
      </c>
    </row>
    <row r="7" spans="1:5" x14ac:dyDescent="0.25">
      <c r="A7" s="5" t="s">
        <v>2</v>
      </c>
      <c r="B7" s="5" t="s">
        <v>36</v>
      </c>
      <c r="C7" s="5" t="s">
        <v>37</v>
      </c>
      <c r="D7" s="1" t="str">
        <f>SUBSTITUTE(TRIM(B7),"?","")</f>
        <v>PTP 002938243</v>
      </c>
      <c r="E7" t="s">
        <v>46</v>
      </c>
    </row>
    <row r="8" spans="1:5" x14ac:dyDescent="0.25">
      <c r="A8" s="5" t="s">
        <v>2</v>
      </c>
      <c r="B8" s="5" t="s">
        <v>38</v>
      </c>
      <c r="C8" s="5" t="s">
        <v>39</v>
      </c>
      <c r="D8" s="1" t="str">
        <f>SUBSTITUTE(TRIM(B8),"?","")</f>
        <v>PTP 004000356</v>
      </c>
      <c r="E8" t="s">
        <v>46</v>
      </c>
    </row>
    <row r="9" spans="1:5" x14ac:dyDescent="0.25">
      <c r="A9" s="5" t="s">
        <v>2</v>
      </c>
      <c r="B9" s="5" t="s">
        <v>40</v>
      </c>
      <c r="C9" s="5" t="s">
        <v>41</v>
      </c>
      <c r="D9" s="1" t="str">
        <f>SUBSTITUTE(TRIM(B9),"?","")</f>
        <v>PTP 2416727</v>
      </c>
      <c r="E9" t="s">
        <v>46</v>
      </c>
    </row>
    <row r="10" spans="1:5" x14ac:dyDescent="0.25">
      <c r="A10" s="5" t="s">
        <v>2</v>
      </c>
      <c r="B10" s="5" t="s">
        <v>42</v>
      </c>
      <c r="C10" s="5" t="s">
        <v>43</v>
      </c>
      <c r="D10" s="1" t="str">
        <f>SUBSTITUTE(TRIM(B10),"?","")</f>
        <v>PTP 502013148</v>
      </c>
      <c r="E10" t="s">
        <v>46</v>
      </c>
    </row>
    <row r="11" spans="1:5" x14ac:dyDescent="0.25">
      <c r="A11" s="5" t="s">
        <v>3</v>
      </c>
      <c r="B11" s="5" t="s">
        <v>44</v>
      </c>
      <c r="C11" s="5" t="s">
        <v>45</v>
      </c>
      <c r="D11" s="1" t="str">
        <f>SUBSTITUTE(TRIM(B11),"?","")</f>
        <v>COMERCIALIZADORA FE</v>
      </c>
      <c r="E11" t="s">
        <v>46</v>
      </c>
    </row>
    <row r="12" spans="1:5" x14ac:dyDescent="0.25">
      <c r="A12" s="5" t="s">
        <v>5</v>
      </c>
      <c r="B12" s="5" t="s">
        <v>6</v>
      </c>
      <c r="C12" s="5" t="s">
        <v>7</v>
      </c>
      <c r="D12" s="1" t="str">
        <f>SUBSTITUTE(TRIM(B12),"?","")</f>
        <v>08217709</v>
      </c>
    </row>
    <row r="13" spans="1:5" x14ac:dyDescent="0.25">
      <c r="A13" s="5" t="s">
        <v>5</v>
      </c>
      <c r="B13" s="5" t="s">
        <v>8</v>
      </c>
      <c r="C13" s="5" t="s">
        <v>9</v>
      </c>
      <c r="D13" s="1" t="str">
        <f>SUBSTITUTE(TRIM(B13),"?","")</f>
        <v>06262240</v>
      </c>
    </row>
    <row r="14" spans="1:5" x14ac:dyDescent="0.25">
      <c r="A14" s="5" t="s">
        <v>5</v>
      </c>
      <c r="B14" s="5" t="s">
        <v>10</v>
      </c>
      <c r="C14" s="5" t="s">
        <v>11</v>
      </c>
      <c r="D14" s="1" t="str">
        <f>SUBSTITUTE(TRIM(B14),"?","")</f>
        <v>19899733</v>
      </c>
    </row>
    <row r="15" spans="1:5" x14ac:dyDescent="0.25">
      <c r="A15" s="5" t="s">
        <v>5</v>
      </c>
      <c r="B15" s="5" t="s">
        <v>12</v>
      </c>
      <c r="C15" s="5" t="s">
        <v>13</v>
      </c>
      <c r="D15" s="1" t="str">
        <f>SUBSTITUTE(TRIM(B15),"?","")</f>
        <v>31667318</v>
      </c>
    </row>
    <row r="16" spans="1:5" x14ac:dyDescent="0.25">
      <c r="A16" s="5" t="s">
        <v>5</v>
      </c>
      <c r="B16" s="5" t="s">
        <v>14</v>
      </c>
      <c r="C16" s="5" t="s">
        <v>15</v>
      </c>
      <c r="D16" s="1" t="str">
        <f>SUBSTITUTE(TRIM(B16),"?","")</f>
        <v>31673978</v>
      </c>
    </row>
    <row r="17" spans="1:4" x14ac:dyDescent="0.25">
      <c r="A17" s="5" t="s">
        <v>5</v>
      </c>
      <c r="B17" s="5" t="s">
        <v>16</v>
      </c>
      <c r="C17" s="5" t="s">
        <v>17</v>
      </c>
      <c r="D17" s="1" t="str">
        <f>SUBSTITUTE(TRIM(B17),"?","")</f>
        <v>32643708</v>
      </c>
    </row>
    <row r="18" spans="1:4" x14ac:dyDescent="0.25">
      <c r="A18" s="5" t="s">
        <v>5</v>
      </c>
      <c r="B18" s="5" t="s">
        <v>18</v>
      </c>
      <c r="C18" s="5" t="s">
        <v>19</v>
      </c>
      <c r="D18" s="1" t="str">
        <f>SUBSTITUTE(TRIM(B18),"?","")</f>
        <v>32820445</v>
      </c>
    </row>
    <row r="19" spans="1:4" x14ac:dyDescent="0.25">
      <c r="A19" s="5" t="s">
        <v>5</v>
      </c>
      <c r="B19" s="5" t="s">
        <v>20</v>
      </c>
      <c r="C19" s="5" t="s">
        <v>21</v>
      </c>
      <c r="D19" s="1" t="str">
        <f>SUBSTITUTE(TRIM(B19),"?","")</f>
        <v>32906609</v>
      </c>
    </row>
    <row r="20" spans="1:4" x14ac:dyDescent="0.25">
      <c r="A20" s="5" t="s">
        <v>5</v>
      </c>
      <c r="B20" s="5" t="s">
        <v>22</v>
      </c>
      <c r="C20" s="5" t="s">
        <v>23</v>
      </c>
      <c r="D20" s="1" t="str">
        <f>SUBSTITUTE(TRIM(B20),"?","")</f>
        <v>32939908</v>
      </c>
    </row>
    <row r="21" spans="1:4" x14ac:dyDescent="0.25">
      <c r="A21" s="5" t="s">
        <v>5</v>
      </c>
      <c r="B21" s="5" t="s">
        <v>24</v>
      </c>
      <c r="C21" s="5" t="s">
        <v>25</v>
      </c>
      <c r="D21" s="1" t="str">
        <f>SUBSTITUTE(TRIM(B21),"?","")</f>
        <v>80537775</v>
      </c>
    </row>
  </sheetData>
  <autoFilter ref="A1:E2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Mytron">
                <anchor moveWithCells="1" sizeWithCells="1">
                  <from>
                    <xdr:col>4</xdr:col>
                    <xdr:colOff>219075</xdr:colOff>
                    <xdr:row>0</xdr:row>
                    <xdr:rowOff>9525</xdr:rowOff>
                  </from>
                  <to>
                    <xdr:col>4</xdr:col>
                    <xdr:colOff>628650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CorregirDatos</vt:lpstr>
      <vt:lpstr>CorregirDatos!data_1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2022-07-21T22:32:03Z</dcterms:modified>
</cp:coreProperties>
</file>