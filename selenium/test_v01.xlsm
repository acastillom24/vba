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Alin-Castillo\GitHub\Excel\selenium\"/>
    </mc:Choice>
  </mc:AlternateContent>
  <bookViews>
    <workbookView xWindow="-105" yWindow="495" windowWidth="23250" windowHeight="12570" activeTab="3"/>
  </bookViews>
  <sheets>
    <sheet name="DataPeru" sheetId="1" r:id="rId1"/>
    <sheet name="DataPeruVida" sheetId="6" r:id="rId2"/>
    <sheet name="Pass" sheetId="5" r:id="rId3"/>
    <sheet name="Hist_DataPeru" sheetId="7" r:id="rId4"/>
    <sheet name="Hist_DataPeruVida" sheetId="8" r:id="rId5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" i="5" l="1"/>
  <c r="F2" i="5"/>
  <c r="E2" i="5"/>
  <c r="D2" i="5"/>
  <c r="C2" i="5"/>
  <c r="B2" i="5"/>
</calcChain>
</file>

<file path=xl/sharedStrings.xml><?xml version="1.0" encoding="utf-8"?>
<sst xmlns="http://schemas.openxmlformats.org/spreadsheetml/2006/main" count="408" uniqueCount="83">
  <si>
    <t>2020-00054792</t>
  </si>
  <si>
    <t>Todos los riesgos (incluye fianzas)</t>
  </si>
  <si>
    <t>#</t>
  </si>
  <si>
    <t>Sí</t>
  </si>
  <si>
    <t>28/10/2021</t>
  </si>
  <si>
    <t>2020-00060807</t>
  </si>
  <si>
    <t>José Luis Valverde Huertas</t>
  </si>
  <si>
    <t>2021-00070117</t>
  </si>
  <si>
    <t>FRANCISCO BERROCAL VÁSQUEZ</t>
  </si>
  <si>
    <t>29/10/2021</t>
  </si>
  <si>
    <t>2021-00070118</t>
  </si>
  <si>
    <t>FRANKLIN ALBERTO SUAZO VILCAS</t>
  </si>
  <si>
    <t>JUAN ANTONIO ALLEMANT LUNA</t>
  </si>
  <si>
    <t>JORGE TERRONES RAMÍREZ</t>
  </si>
  <si>
    <t>2021-00087120</t>
  </si>
  <si>
    <t>ELSA PAULINA CHOQUEPATA PARI</t>
  </si>
  <si>
    <t>No</t>
  </si>
  <si>
    <t>DHIAERESLIT NOEMI VARGAS CHOQUEPATA</t>
  </si>
  <si>
    <t>AURORA AVIGAIL VARGAS CHOQUEPATA</t>
  </si>
  <si>
    <t>MARILYN DYDY VARGAS CHOQUEPATA</t>
  </si>
  <si>
    <t>AMELIA VICTORIA VARGAS CHOQUEPATA</t>
  </si>
  <si>
    <t>2021-00087783</t>
  </si>
  <si>
    <t>SOAT</t>
  </si>
  <si>
    <t>L1C816</t>
  </si>
  <si>
    <t>Periodo a considerar</t>
  </si>
  <si>
    <t>N° Expediente</t>
  </si>
  <si>
    <t>Número de Placa</t>
  </si>
  <si>
    <t>Fecha de Envío</t>
  </si>
  <si>
    <t>ENE 2002 - OCT 2021</t>
  </si>
  <si>
    <t>21/10/2021</t>
  </si>
  <si>
    <t>ENE 2012 - DIC 2012</t>
  </si>
  <si>
    <t>22/10/2021</t>
  </si>
  <si>
    <t>ENE 2016 - DIC 2016</t>
  </si>
  <si>
    <t>25/10/2021</t>
  </si>
  <si>
    <t>ORLANDO QUISPE PÉREZ</t>
  </si>
  <si>
    <t>Expediente</t>
  </si>
  <si>
    <t>T. Solicitud</t>
  </si>
  <si>
    <t>N. Documento</t>
  </si>
  <si>
    <t>Nombre / R. Social</t>
  </si>
  <si>
    <t>N. Placa</t>
  </si>
  <si>
    <t>Sustento</t>
  </si>
  <si>
    <t>F. Límite</t>
  </si>
  <si>
    <t>Acción</t>
  </si>
  <si>
    <t>Estado</t>
  </si>
  <si>
    <t>Pendiente</t>
  </si>
  <si>
    <t>2020-00060266</t>
  </si>
  <si>
    <t>SERVICIOS DE CARGA PESADA VIRGEN DE GUADALUPE S.A.C.</t>
  </si>
  <si>
    <t>FIORELLA INGE CHIABRA CAVERO</t>
  </si>
  <si>
    <t>MODAPEL S.R.L.</t>
  </si>
  <si>
    <t>JUL 2010 - NOV 2011</t>
  </si>
  <si>
    <t>27/10/2021</t>
  </si>
  <si>
    <t>ENE 2014 - AGO 2020</t>
  </si>
  <si>
    <t>JUL 2000 - JUN 2004</t>
  </si>
  <si>
    <t>2021-00082779</t>
  </si>
  <si>
    <t>Seguros de Vida</t>
  </si>
  <si>
    <t>ELIZABETH MARILU LUNA BRITTO</t>
  </si>
  <si>
    <t>14/10/2021</t>
  </si>
  <si>
    <t>ROSARIO BERENICE RIOS BRAVO</t>
  </si>
  <si>
    <t>Pendiente Plazo Vencido</t>
  </si>
  <si>
    <t>2021-00078330</t>
  </si>
  <si>
    <t>G05382398</t>
  </si>
  <si>
    <t>VLADIMIR EMILIANO SUÁREZ OCAMPO</t>
  </si>
  <si>
    <t>DARÍO ROBERTO ESPEJO FLORES</t>
  </si>
  <si>
    <t>G12839161</t>
  </si>
  <si>
    <t>JOSÉ PABLO GONZALES COCOM</t>
  </si>
  <si>
    <t>MARCOS URBINA BLANCAS</t>
  </si>
  <si>
    <t>G17688482</t>
  </si>
  <si>
    <t>VÍCTOR MANUEL SOSA CASTILLO</t>
  </si>
  <si>
    <t>ANMAWA E.I.R.L.</t>
  </si>
  <si>
    <t>ENE 2004 - DIC 2015</t>
  </si>
  <si>
    <t>T. Documento</t>
  </si>
  <si>
    <t>Contrato</t>
  </si>
  <si>
    <t>F. Envío</t>
  </si>
  <si>
    <t>F. Rpta.</t>
  </si>
  <si>
    <t>Usuario Remitió</t>
  </si>
  <si>
    <t>Ver Rpta.</t>
  </si>
  <si>
    <t>Fecha Límite</t>
  </si>
  <si>
    <t>Periodo a considerar2</t>
  </si>
  <si>
    <t>Nombre/R. Social</t>
  </si>
  <si>
    <t>TIPO DE SEGURO</t>
  </si>
  <si>
    <t>N. PÓLIZA</t>
  </si>
  <si>
    <t>Ini_VIGENCIA</t>
  </si>
  <si>
    <t>Fin_VIGENCIA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</si>
</sst>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2"/>
      <color rgb="FF3366FF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66675</xdr:rowOff>
        </xdr:from>
        <xdr:to>
          <xdr:col>2</xdr:col>
          <xdr:colOff>66675</xdr:colOff>
          <xdr:row>0</xdr:row>
          <xdr:rowOff>314325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200" b="1" i="0" u="none" strike="noStrike" baseline="0">
                  <a:solidFill>
                    <a:srgbClr val="3366FF"/>
                  </a:solidFill>
                  <a:latin typeface="Calibri"/>
                  <a:cs typeface="Calibri"/>
                </a:rPr>
                <a:t>RunScrapingSBS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a1" displayName="Tabla1" ref="A2:N23" totalsRowShown="0">
  <tableColumns count="14">
    <tableColumn id="1" name="#"/>
    <tableColumn id="2" name="Expediente"/>
    <tableColumn id="3" name="T. Solicitud"/>
    <tableColumn id="4" name="N. Documento"/>
    <tableColumn id="5" name="Nombre / R. Social"/>
    <tableColumn id="6" name="N. Placa"/>
    <tableColumn id="7" name="Sustento"/>
    <tableColumn id="8" name="F. Límite"/>
    <tableColumn id="9" name="Acción"/>
    <tableColumn id="13" name="N° Expediente"/>
    <tableColumn id="15" name="Estado"/>
    <tableColumn id="10" name="Periodo a considerar"/>
    <tableColumn id="11" name="Número de Placa"/>
    <tableColumn id="12" name="Fecha de Enví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a2" displayName="Tabla2" ref="A2:N24" totalsRowShown="0">
  <tableColumns count="14">
    <tableColumn id="1" name="#"/>
    <tableColumn id="2" name="Expediente"/>
    <tableColumn id="3" name="T. Solicitud"/>
    <tableColumn id="4" name="N. Documento"/>
    <tableColumn id="5" name="Nombre / R. Social"/>
    <tableColumn id="6" name="N. Placa"/>
    <tableColumn id="7" name="Sustento"/>
    <tableColumn id="8" name="F. Límite"/>
    <tableColumn id="9" name="Acción"/>
    <tableColumn id="13" name="N° Expediente"/>
    <tableColumn id="15" name="Estado"/>
    <tableColumn id="10" name="Periodo a considerar"/>
    <tableColumn id="11" name="Número de Placa"/>
    <tableColumn id="12" name="Fecha de Envío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a14" displayName="Tabla14" ref="A2:T3" insertRow="1" totalsRowShown="0">
  <tableColumns count="20">
    <tableColumn id="1" name="#"/>
    <tableColumn id="2" name="Expediente"/>
    <tableColumn id="3" name="T. Solicitud"/>
    <tableColumn id="4" name="T. Documento"/>
    <tableColumn id="5" name="N. Documento"/>
    <tableColumn id="6" name="Contrato"/>
    <tableColumn id="7" name="F. Envío"/>
    <tableColumn id="8" name="F. Rpta."/>
    <tableColumn id="9" name="Usuario Remitió"/>
    <tableColumn id="13" name="Ver Rpta."/>
    <tableColumn id="15" name="N° Expediente"/>
    <tableColumn id="10" name="Estado"/>
    <tableColumn id="11" name="Periodo a considerar2"/>
    <tableColumn id="16" name="Número de Placa"/>
    <tableColumn id="12" name="Nombre/R. Social"/>
    <tableColumn id="14" name="Fecha Límite"/>
    <tableColumn id="18" name="TIPO DE SEGURO"/>
    <tableColumn id="19" name="N. PÓLIZA"/>
    <tableColumn id="20" name="Ini_VIGENCIA"/>
    <tableColumn id="21" name="Fin_VIGENCI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N23"/>
  <sheetViews>
    <sheetView workbookViewId="0">
      <selection activeCell="A2" sqref="A2:N23"/>
    </sheetView>
  </sheetViews>
  <sheetFormatPr baseColWidth="10" defaultColWidth="8.85546875" defaultRowHeight="15" x14ac:dyDescent="0.25"/>
  <cols>
    <col min="1" max="1" width="3.85546875" customWidth="1"/>
    <col min="2" max="2" width="13.7109375" bestFit="1" customWidth="1"/>
    <col min="3" max="3" width="28.5703125" bestFit="1" customWidth="1"/>
    <col min="4" max="4" width="15.5703125" bestFit="1" customWidth="1"/>
    <col min="5" max="5" width="22.7109375" customWidth="1"/>
    <col min="6" max="6" width="9.7109375" customWidth="1"/>
    <col min="7" max="7" width="10.28515625" customWidth="1"/>
    <col min="8" max="8" width="10.5703125" bestFit="1" customWidth="1"/>
    <col min="9" max="9" width="8.5703125" customWidth="1"/>
    <col min="10" max="10" width="15" bestFit="1" customWidth="1"/>
    <col min="12" max="12" width="20.140625" customWidth="1"/>
    <col min="13" max="13" width="17.28515625" customWidth="1"/>
    <col min="14" max="14" width="13.5703125" bestFit="1" customWidth="1"/>
  </cols>
  <sheetData>
    <row r="1" spans="1:14" ht="30" customHeight="1" x14ac:dyDescent="0.25"/>
    <row r="2" spans="1:14" x14ac:dyDescent="0.25">
      <c r="A2" t="s">
        <v>2</v>
      </c>
      <c r="B2" t="s">
        <v>35</v>
      </c>
      <c r="C2" t="s">
        <v>36</v>
      </c>
      <c r="D2" t="s">
        <v>37</v>
      </c>
      <c r="E2" t="s">
        <v>38</v>
      </c>
      <c r="F2" t="s">
        <v>39</v>
      </c>
      <c r="G2" t="s">
        <v>40</v>
      </c>
      <c r="H2" t="s">
        <v>41</v>
      </c>
      <c r="I2" t="s">
        <v>42</v>
      </c>
      <c r="J2" t="s">
        <v>25</v>
      </c>
      <c r="K2" t="s">
        <v>43</v>
      </c>
      <c r="L2" t="s">
        <v>24</v>
      </c>
      <c r="M2" t="s">
        <v>26</v>
      </c>
      <c r="N2" t="s">
        <v>27</v>
      </c>
    </row>
    <row r="3" spans="1:14" x14ac:dyDescent="0.25">
      <c r="A3">
        <v>1</v>
      </c>
      <c r="B3" t="s">
        <v>0</v>
      </c>
      <c r="C3" t="s">
        <v>1</v>
      </c>
      <c r="D3">
        <v>40923424</v>
      </c>
      <c r="E3" t="s">
        <v>34</v>
      </c>
      <c r="G3" t="s">
        <v>3</v>
      </c>
      <c r="H3" t="s">
        <v>4</v>
      </c>
      <c r="J3" t="s">
        <v>0</v>
      </c>
      <c r="K3" t="s">
        <v>44</v>
      </c>
      <c r="L3" t="s">
        <v>28</v>
      </c>
      <c r="N3" t="s">
        <v>29</v>
      </c>
    </row>
    <row r="4" spans="1:14" x14ac:dyDescent="0.25">
      <c r="A4">
        <v>2</v>
      </c>
      <c r="B4" t="s">
        <v>45</v>
      </c>
      <c r="C4" t="s">
        <v>1</v>
      </c>
      <c r="D4">
        <v>20536085239</v>
      </c>
      <c r="E4" t="s">
        <v>46</v>
      </c>
      <c r="G4" t="s">
        <v>3</v>
      </c>
      <c r="H4" s="1">
        <v>44297</v>
      </c>
      <c r="J4" t="s">
        <v>45</v>
      </c>
      <c r="K4" t="s">
        <v>44</v>
      </c>
      <c r="L4" t="s">
        <v>49</v>
      </c>
      <c r="N4" t="s">
        <v>50</v>
      </c>
    </row>
    <row r="5" spans="1:14" x14ac:dyDescent="0.25">
      <c r="A5">
        <v>3</v>
      </c>
      <c r="B5" t="s">
        <v>45</v>
      </c>
      <c r="C5" t="s">
        <v>1</v>
      </c>
      <c r="D5">
        <v>43683193</v>
      </c>
      <c r="E5" t="s">
        <v>47</v>
      </c>
      <c r="G5" t="s">
        <v>3</v>
      </c>
      <c r="H5" s="1">
        <v>44297</v>
      </c>
      <c r="J5" t="s">
        <v>45</v>
      </c>
      <c r="K5" t="s">
        <v>44</v>
      </c>
      <c r="L5" t="s">
        <v>51</v>
      </c>
      <c r="N5" t="s">
        <v>50</v>
      </c>
    </row>
    <row r="6" spans="1:14" x14ac:dyDescent="0.25">
      <c r="A6">
        <v>4</v>
      </c>
      <c r="B6" t="s">
        <v>45</v>
      </c>
      <c r="C6" t="s">
        <v>1</v>
      </c>
      <c r="D6">
        <v>20470461901</v>
      </c>
      <c r="E6" t="s">
        <v>48</v>
      </c>
      <c r="G6" t="s">
        <v>3</v>
      </c>
      <c r="H6" s="1">
        <v>44297</v>
      </c>
      <c r="J6" t="s">
        <v>45</v>
      </c>
      <c r="K6" t="s">
        <v>44</v>
      </c>
      <c r="L6" t="s">
        <v>52</v>
      </c>
      <c r="N6" t="s">
        <v>50</v>
      </c>
    </row>
    <row r="7" spans="1:14" x14ac:dyDescent="0.25">
      <c r="A7">
        <v>5</v>
      </c>
      <c r="B7" t="s">
        <v>5</v>
      </c>
      <c r="C7" t="s">
        <v>1</v>
      </c>
      <c r="D7">
        <v>42663530</v>
      </c>
      <c r="E7" t="s">
        <v>6</v>
      </c>
      <c r="G7" t="s">
        <v>3</v>
      </c>
      <c r="H7" t="s">
        <v>4</v>
      </c>
      <c r="J7" t="s">
        <v>5</v>
      </c>
      <c r="K7" t="s">
        <v>44</v>
      </c>
      <c r="N7" t="s">
        <v>29</v>
      </c>
    </row>
    <row r="8" spans="1:14" x14ac:dyDescent="0.25">
      <c r="A8">
        <v>6</v>
      </c>
      <c r="B8" t="s">
        <v>7</v>
      </c>
      <c r="C8" t="s">
        <v>1</v>
      </c>
      <c r="D8">
        <v>9401625</v>
      </c>
      <c r="E8" t="s">
        <v>8</v>
      </c>
      <c r="G8" t="s">
        <v>3</v>
      </c>
      <c r="H8" t="s">
        <v>9</v>
      </c>
      <c r="J8" t="s">
        <v>7</v>
      </c>
      <c r="K8" t="s">
        <v>44</v>
      </c>
      <c r="L8" t="s">
        <v>30</v>
      </c>
      <c r="N8" t="s">
        <v>31</v>
      </c>
    </row>
    <row r="9" spans="1:14" x14ac:dyDescent="0.25">
      <c r="A9">
        <v>7</v>
      </c>
      <c r="B9" t="s">
        <v>10</v>
      </c>
      <c r="C9" t="s">
        <v>1</v>
      </c>
      <c r="D9">
        <v>19970300</v>
      </c>
      <c r="E9" t="s">
        <v>11</v>
      </c>
      <c r="G9" t="s">
        <v>3</v>
      </c>
      <c r="H9" t="s">
        <v>9</v>
      </c>
      <c r="J9" t="s">
        <v>10</v>
      </c>
      <c r="K9" t="s">
        <v>44</v>
      </c>
      <c r="L9" t="s">
        <v>32</v>
      </c>
      <c r="N9" t="s">
        <v>31</v>
      </c>
    </row>
    <row r="10" spans="1:14" x14ac:dyDescent="0.25">
      <c r="A10">
        <v>8</v>
      </c>
      <c r="B10" t="s">
        <v>10</v>
      </c>
      <c r="C10" t="s">
        <v>1</v>
      </c>
      <c r="D10">
        <v>7310557</v>
      </c>
      <c r="E10" t="s">
        <v>12</v>
      </c>
      <c r="G10" t="s">
        <v>3</v>
      </c>
      <c r="H10" t="s">
        <v>9</v>
      </c>
      <c r="J10" t="s">
        <v>10</v>
      </c>
      <c r="K10" t="s">
        <v>44</v>
      </c>
      <c r="L10" t="s">
        <v>32</v>
      </c>
      <c r="N10" t="s">
        <v>31</v>
      </c>
    </row>
    <row r="11" spans="1:14" x14ac:dyDescent="0.25">
      <c r="A11">
        <v>9</v>
      </c>
      <c r="B11" t="s">
        <v>10</v>
      </c>
      <c r="C11" t="s">
        <v>1</v>
      </c>
      <c r="D11">
        <v>8087757</v>
      </c>
      <c r="E11" t="s">
        <v>13</v>
      </c>
      <c r="G11" t="s">
        <v>3</v>
      </c>
      <c r="H11" t="s">
        <v>9</v>
      </c>
      <c r="J11" t="s">
        <v>10</v>
      </c>
      <c r="K11" t="s">
        <v>44</v>
      </c>
      <c r="L11" t="s">
        <v>32</v>
      </c>
      <c r="N11" t="s">
        <v>31</v>
      </c>
    </row>
    <row r="12" spans="1:14" x14ac:dyDescent="0.25">
      <c r="A12">
        <v>10</v>
      </c>
      <c r="B12" t="s">
        <v>59</v>
      </c>
      <c r="C12" t="s">
        <v>1</v>
      </c>
      <c r="D12" t="s">
        <v>60</v>
      </c>
      <c r="E12" t="s">
        <v>61</v>
      </c>
      <c r="G12" t="s">
        <v>3</v>
      </c>
      <c r="H12" s="1">
        <v>44297</v>
      </c>
      <c r="J12" t="s">
        <v>59</v>
      </c>
      <c r="K12" t="s">
        <v>44</v>
      </c>
      <c r="L12" t="s">
        <v>69</v>
      </c>
      <c r="N12" t="s">
        <v>50</v>
      </c>
    </row>
    <row r="13" spans="1:14" x14ac:dyDescent="0.25">
      <c r="A13">
        <v>11</v>
      </c>
      <c r="B13" t="s">
        <v>59</v>
      </c>
      <c r="C13" t="s">
        <v>1</v>
      </c>
      <c r="D13">
        <v>10823846</v>
      </c>
      <c r="E13" t="s">
        <v>62</v>
      </c>
      <c r="G13" t="s">
        <v>3</v>
      </c>
      <c r="H13" s="1">
        <v>44297</v>
      </c>
      <c r="J13" t="s">
        <v>59</v>
      </c>
      <c r="K13" t="s">
        <v>44</v>
      </c>
      <c r="L13" t="s">
        <v>69</v>
      </c>
      <c r="N13" t="s">
        <v>50</v>
      </c>
    </row>
    <row r="14" spans="1:14" x14ac:dyDescent="0.25">
      <c r="A14">
        <v>12</v>
      </c>
      <c r="B14" t="s">
        <v>59</v>
      </c>
      <c r="C14" t="s">
        <v>1</v>
      </c>
      <c r="D14" t="s">
        <v>63</v>
      </c>
      <c r="E14" t="s">
        <v>64</v>
      </c>
      <c r="G14" t="s">
        <v>3</v>
      </c>
      <c r="H14" s="1">
        <v>44297</v>
      </c>
      <c r="J14" t="s">
        <v>59</v>
      </c>
      <c r="K14" t="s">
        <v>44</v>
      </c>
      <c r="L14" t="s">
        <v>69</v>
      </c>
      <c r="N14" t="s">
        <v>50</v>
      </c>
    </row>
    <row r="15" spans="1:14" x14ac:dyDescent="0.25">
      <c r="A15">
        <v>13</v>
      </c>
      <c r="B15" t="s">
        <v>59</v>
      </c>
      <c r="C15" t="s">
        <v>1</v>
      </c>
      <c r="D15" t="s">
        <v>63</v>
      </c>
      <c r="E15" t="s">
        <v>65</v>
      </c>
      <c r="G15" t="s">
        <v>3</v>
      </c>
      <c r="H15" s="1">
        <v>44297</v>
      </c>
      <c r="J15" t="s">
        <v>59</v>
      </c>
      <c r="K15" t="s">
        <v>44</v>
      </c>
      <c r="L15" t="s">
        <v>69</v>
      </c>
      <c r="N15" t="s">
        <v>50</v>
      </c>
    </row>
    <row r="16" spans="1:14" x14ac:dyDescent="0.25">
      <c r="A16">
        <v>14</v>
      </c>
      <c r="B16" t="s">
        <v>59</v>
      </c>
      <c r="C16" t="s">
        <v>1</v>
      </c>
      <c r="D16" t="s">
        <v>66</v>
      </c>
      <c r="E16" t="s">
        <v>67</v>
      </c>
      <c r="G16" t="s">
        <v>3</v>
      </c>
      <c r="H16" s="1">
        <v>44297</v>
      </c>
      <c r="J16" t="s">
        <v>59</v>
      </c>
      <c r="K16" t="s">
        <v>44</v>
      </c>
      <c r="L16" t="s">
        <v>69</v>
      </c>
      <c r="N16" t="s">
        <v>50</v>
      </c>
    </row>
    <row r="17" spans="1:14" x14ac:dyDescent="0.25">
      <c r="A17">
        <v>15</v>
      </c>
      <c r="B17" t="s">
        <v>59</v>
      </c>
      <c r="C17" t="s">
        <v>1</v>
      </c>
      <c r="D17">
        <v>20565940865</v>
      </c>
      <c r="E17" t="s">
        <v>68</v>
      </c>
      <c r="G17" t="s">
        <v>3</v>
      </c>
      <c r="H17" s="1">
        <v>44297</v>
      </c>
      <c r="J17" t="s">
        <v>59</v>
      </c>
      <c r="K17" t="s">
        <v>44</v>
      </c>
      <c r="L17" t="s">
        <v>69</v>
      </c>
      <c r="N17" t="s">
        <v>50</v>
      </c>
    </row>
    <row r="18" spans="1:14" x14ac:dyDescent="0.25">
      <c r="A18">
        <v>16</v>
      </c>
      <c r="B18" t="s">
        <v>14</v>
      </c>
      <c r="C18" t="s">
        <v>1</v>
      </c>
      <c r="D18">
        <v>29571828</v>
      </c>
      <c r="E18" t="s">
        <v>15</v>
      </c>
      <c r="G18" t="s">
        <v>16</v>
      </c>
      <c r="H18" t="s">
        <v>9</v>
      </c>
      <c r="J18" t="s">
        <v>14</v>
      </c>
      <c r="K18" t="s">
        <v>44</v>
      </c>
      <c r="N18" t="s">
        <v>31</v>
      </c>
    </row>
    <row r="19" spans="1:14" x14ac:dyDescent="0.25">
      <c r="A19">
        <v>17</v>
      </c>
      <c r="B19" t="s">
        <v>14</v>
      </c>
      <c r="C19" t="s">
        <v>1</v>
      </c>
      <c r="D19">
        <v>45436437</v>
      </c>
      <c r="E19" t="s">
        <v>17</v>
      </c>
      <c r="G19" t="s">
        <v>16</v>
      </c>
      <c r="H19" t="s">
        <v>9</v>
      </c>
      <c r="J19" t="s">
        <v>14</v>
      </c>
      <c r="K19" t="s">
        <v>44</v>
      </c>
      <c r="N19" t="s">
        <v>31</v>
      </c>
    </row>
    <row r="20" spans="1:14" x14ac:dyDescent="0.25">
      <c r="A20">
        <v>18</v>
      </c>
      <c r="B20" t="s">
        <v>14</v>
      </c>
      <c r="C20" t="s">
        <v>1</v>
      </c>
      <c r="D20">
        <v>45861344</v>
      </c>
      <c r="E20" t="s">
        <v>18</v>
      </c>
      <c r="G20" t="s">
        <v>16</v>
      </c>
      <c r="H20" t="s">
        <v>9</v>
      </c>
      <c r="J20" t="s">
        <v>14</v>
      </c>
      <c r="K20" t="s">
        <v>44</v>
      </c>
      <c r="N20" t="s">
        <v>31</v>
      </c>
    </row>
    <row r="21" spans="1:14" x14ac:dyDescent="0.25">
      <c r="A21">
        <v>19</v>
      </c>
      <c r="B21" t="s">
        <v>14</v>
      </c>
      <c r="C21" t="s">
        <v>1</v>
      </c>
      <c r="D21">
        <v>77102800</v>
      </c>
      <c r="E21" t="s">
        <v>19</v>
      </c>
      <c r="G21" t="s">
        <v>16</v>
      </c>
      <c r="H21" t="s">
        <v>9</v>
      </c>
      <c r="J21" t="s">
        <v>14</v>
      </c>
      <c r="K21" t="s">
        <v>44</v>
      </c>
      <c r="N21" t="s">
        <v>31</v>
      </c>
    </row>
    <row r="22" spans="1:14" x14ac:dyDescent="0.25">
      <c r="A22">
        <v>20</v>
      </c>
      <c r="B22" t="s">
        <v>14</v>
      </c>
      <c r="C22" t="s">
        <v>1</v>
      </c>
      <c r="D22">
        <v>77102801</v>
      </c>
      <c r="E22" t="s">
        <v>20</v>
      </c>
      <c r="G22" t="s">
        <v>16</v>
      </c>
      <c r="H22" t="s">
        <v>9</v>
      </c>
      <c r="J22" t="s">
        <v>14</v>
      </c>
      <c r="K22" t="s">
        <v>44</v>
      </c>
      <c r="N22" t="s">
        <v>31</v>
      </c>
    </row>
    <row r="23" spans="1:14" x14ac:dyDescent="0.25">
      <c r="A23">
        <v>21</v>
      </c>
      <c r="B23" t="s">
        <v>21</v>
      </c>
      <c r="C23" t="s">
        <v>22</v>
      </c>
      <c r="F23" t="s">
        <v>23</v>
      </c>
      <c r="G23" t="s">
        <v>16</v>
      </c>
      <c r="H23" s="1">
        <v>44238</v>
      </c>
      <c r="J23" t="s">
        <v>21</v>
      </c>
      <c r="K23" t="s">
        <v>44</v>
      </c>
      <c r="M23" t="s">
        <v>23</v>
      </c>
      <c r="N23" t="s">
        <v>33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crapingSBS">
                <anchor moveWithCells="1" sizeWithCells="1">
                  <from>
                    <xdr:col>0</xdr:col>
                    <xdr:colOff>57150</xdr:colOff>
                    <xdr:row>0</xdr:row>
                    <xdr:rowOff>66675</xdr:rowOff>
                  </from>
                  <to>
                    <xdr:col>2</xdr:col>
                    <xdr:colOff>66675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2:N24"/>
  <sheetViews>
    <sheetView workbookViewId="0">
      <selection activeCell="A3" sqref="A3"/>
    </sheetView>
  </sheetViews>
  <sheetFormatPr baseColWidth="10" defaultRowHeight="15" x14ac:dyDescent="0.25"/>
  <cols>
    <col min="1" max="1" width="3" bestFit="1" customWidth="1"/>
    <col min="2" max="2" width="13.7109375" bestFit="1" customWidth="1"/>
    <col min="3" max="3" width="31.28515625" bestFit="1" customWidth="1"/>
    <col min="4" max="4" width="13.7109375" bestFit="1" customWidth="1"/>
    <col min="5" max="5" width="39.7109375" bestFit="1" customWidth="1"/>
    <col min="6" max="6" width="8" bestFit="1" customWidth="1"/>
    <col min="7" max="7" width="8.85546875" bestFit="1" customWidth="1"/>
    <col min="8" max="8" width="10.7109375" bestFit="1" customWidth="1"/>
    <col min="9" max="9" width="6.85546875" bestFit="1" customWidth="1"/>
    <col min="10" max="10" width="13.7109375" bestFit="1" customWidth="1"/>
    <col min="11" max="11" width="10.28515625" bestFit="1" customWidth="1"/>
    <col min="12" max="12" width="19.28515625" bestFit="1" customWidth="1"/>
    <col min="13" max="13" width="16.140625" bestFit="1" customWidth="1"/>
    <col min="14" max="14" width="14.140625" bestFit="1" customWidth="1"/>
  </cols>
  <sheetData>
    <row r="2" spans="1:14" x14ac:dyDescent="0.25">
      <c r="A2" t="s">
        <v>2</v>
      </c>
      <c r="B2" t="s">
        <v>35</v>
      </c>
      <c r="C2" t="s">
        <v>36</v>
      </c>
      <c r="D2" t="s">
        <v>37</v>
      </c>
      <c r="E2" t="s">
        <v>38</v>
      </c>
      <c r="F2" t="s">
        <v>39</v>
      </c>
      <c r="G2" t="s">
        <v>40</v>
      </c>
      <c r="H2" t="s">
        <v>41</v>
      </c>
      <c r="I2" t="s">
        <v>42</v>
      </c>
      <c r="J2" t="s">
        <v>25</v>
      </c>
      <c r="K2" t="s">
        <v>43</v>
      </c>
      <c r="L2" t="s">
        <v>24</v>
      </c>
      <c r="M2" t="s">
        <v>26</v>
      </c>
      <c r="N2" t="s">
        <v>27</v>
      </c>
    </row>
    <row r="3" spans="1:14" x14ac:dyDescent="0.25">
      <c r="A3">
        <v>1</v>
      </c>
      <c r="B3" t="s">
        <v>0</v>
      </c>
      <c r="C3" t="s">
        <v>1</v>
      </c>
      <c r="D3">
        <v>40923424</v>
      </c>
      <c r="E3" t="s">
        <v>34</v>
      </c>
      <c r="G3" t="s">
        <v>3</v>
      </c>
      <c r="H3" t="s">
        <v>4</v>
      </c>
      <c r="J3" t="s">
        <v>0</v>
      </c>
      <c r="K3" t="s">
        <v>44</v>
      </c>
      <c r="L3" t="s">
        <v>28</v>
      </c>
      <c r="N3" t="s">
        <v>29</v>
      </c>
    </row>
    <row r="4" spans="1:14" x14ac:dyDescent="0.25">
      <c r="A4">
        <v>2</v>
      </c>
      <c r="B4" t="s">
        <v>45</v>
      </c>
      <c r="C4" t="s">
        <v>1</v>
      </c>
      <c r="D4">
        <v>20536085239</v>
      </c>
      <c r="E4" t="s">
        <v>46</v>
      </c>
      <c r="G4" t="s">
        <v>3</v>
      </c>
      <c r="H4" s="1">
        <v>44297</v>
      </c>
      <c r="J4" t="s">
        <v>45</v>
      </c>
      <c r="K4" t="s">
        <v>44</v>
      </c>
      <c r="L4" t="s">
        <v>49</v>
      </c>
      <c r="N4" t="s">
        <v>50</v>
      </c>
    </row>
    <row r="5" spans="1:14" x14ac:dyDescent="0.25">
      <c r="A5">
        <v>3</v>
      </c>
      <c r="B5" t="s">
        <v>45</v>
      </c>
      <c r="C5" t="s">
        <v>1</v>
      </c>
      <c r="D5">
        <v>43683193</v>
      </c>
      <c r="E5" t="s">
        <v>47</v>
      </c>
      <c r="G5" t="s">
        <v>3</v>
      </c>
      <c r="H5" s="1">
        <v>44297</v>
      </c>
      <c r="J5" t="s">
        <v>45</v>
      </c>
      <c r="K5" t="s">
        <v>44</v>
      </c>
      <c r="L5" t="s">
        <v>51</v>
      </c>
      <c r="N5" t="s">
        <v>50</v>
      </c>
    </row>
    <row r="6" spans="1:14" x14ac:dyDescent="0.25">
      <c r="A6">
        <v>4</v>
      </c>
      <c r="B6" t="s">
        <v>45</v>
      </c>
      <c r="C6" t="s">
        <v>1</v>
      </c>
      <c r="D6">
        <v>20470461901</v>
      </c>
      <c r="E6" t="s">
        <v>48</v>
      </c>
      <c r="G6" t="s">
        <v>3</v>
      </c>
      <c r="H6" s="1">
        <v>44297</v>
      </c>
      <c r="J6" t="s">
        <v>45</v>
      </c>
      <c r="K6" t="s">
        <v>44</v>
      </c>
      <c r="L6" t="s">
        <v>52</v>
      </c>
      <c r="N6" t="s">
        <v>50</v>
      </c>
    </row>
    <row r="7" spans="1:14" x14ac:dyDescent="0.25">
      <c r="A7">
        <v>5</v>
      </c>
      <c r="B7" t="s">
        <v>5</v>
      </c>
      <c r="C7" t="s">
        <v>1</v>
      </c>
      <c r="D7">
        <v>42663530</v>
      </c>
      <c r="E7" t="s">
        <v>6</v>
      </c>
      <c r="G7" t="s">
        <v>3</v>
      </c>
      <c r="H7" t="s">
        <v>4</v>
      </c>
      <c r="J7" t="s">
        <v>5</v>
      </c>
      <c r="K7" t="s">
        <v>44</v>
      </c>
      <c r="N7" t="s">
        <v>29</v>
      </c>
    </row>
    <row r="8" spans="1:14" x14ac:dyDescent="0.25">
      <c r="A8">
        <v>6</v>
      </c>
      <c r="B8" t="s">
        <v>7</v>
      </c>
      <c r="C8" t="s">
        <v>1</v>
      </c>
      <c r="D8">
        <v>9401625</v>
      </c>
      <c r="E8" t="s">
        <v>8</v>
      </c>
      <c r="G8" t="s">
        <v>3</v>
      </c>
      <c r="H8" t="s">
        <v>9</v>
      </c>
      <c r="J8" t="s">
        <v>7</v>
      </c>
      <c r="K8" t="s">
        <v>44</v>
      </c>
      <c r="L8" t="s">
        <v>30</v>
      </c>
      <c r="N8" t="s">
        <v>31</v>
      </c>
    </row>
    <row r="9" spans="1:14" x14ac:dyDescent="0.25">
      <c r="A9">
        <v>7</v>
      </c>
      <c r="B9" t="s">
        <v>10</v>
      </c>
      <c r="C9" t="s">
        <v>1</v>
      </c>
      <c r="D9">
        <v>19970300</v>
      </c>
      <c r="E9" t="s">
        <v>11</v>
      </c>
      <c r="G9" t="s">
        <v>3</v>
      </c>
      <c r="H9" t="s">
        <v>9</v>
      </c>
      <c r="J9" t="s">
        <v>10</v>
      </c>
      <c r="K9" t="s">
        <v>44</v>
      </c>
      <c r="L9" t="s">
        <v>32</v>
      </c>
      <c r="N9" t="s">
        <v>31</v>
      </c>
    </row>
    <row r="10" spans="1:14" x14ac:dyDescent="0.25">
      <c r="A10">
        <v>8</v>
      </c>
      <c r="B10" t="s">
        <v>10</v>
      </c>
      <c r="C10" t="s">
        <v>1</v>
      </c>
      <c r="D10">
        <v>7310557</v>
      </c>
      <c r="E10" t="s">
        <v>12</v>
      </c>
      <c r="G10" t="s">
        <v>3</v>
      </c>
      <c r="H10" t="s">
        <v>9</v>
      </c>
      <c r="J10" t="s">
        <v>10</v>
      </c>
      <c r="K10" t="s">
        <v>44</v>
      </c>
      <c r="L10" t="s">
        <v>32</v>
      </c>
      <c r="N10" t="s">
        <v>31</v>
      </c>
    </row>
    <row r="11" spans="1:14" x14ac:dyDescent="0.25">
      <c r="A11">
        <v>9</v>
      </c>
      <c r="B11" t="s">
        <v>10</v>
      </c>
      <c r="C11" t="s">
        <v>1</v>
      </c>
      <c r="D11">
        <v>8087757</v>
      </c>
      <c r="E11" t="s">
        <v>13</v>
      </c>
      <c r="G11" t="s">
        <v>3</v>
      </c>
      <c r="H11" t="s">
        <v>9</v>
      </c>
      <c r="J11" t="s">
        <v>10</v>
      </c>
      <c r="K11" t="s">
        <v>44</v>
      </c>
      <c r="L11" t="s">
        <v>32</v>
      </c>
      <c r="N11" t="s">
        <v>31</v>
      </c>
    </row>
    <row r="12" spans="1:14" x14ac:dyDescent="0.25">
      <c r="A12">
        <v>10</v>
      </c>
      <c r="B12" t="s">
        <v>59</v>
      </c>
      <c r="C12" t="s">
        <v>1</v>
      </c>
      <c r="D12" t="s">
        <v>60</v>
      </c>
      <c r="E12" t="s">
        <v>61</v>
      </c>
      <c r="G12" t="s">
        <v>3</v>
      </c>
      <c r="H12" s="1">
        <v>44297</v>
      </c>
      <c r="J12" t="s">
        <v>59</v>
      </c>
      <c r="K12" t="s">
        <v>44</v>
      </c>
      <c r="L12" t="s">
        <v>69</v>
      </c>
      <c r="N12" t="s">
        <v>50</v>
      </c>
    </row>
    <row r="13" spans="1:14" x14ac:dyDescent="0.25">
      <c r="A13">
        <v>11</v>
      </c>
      <c r="B13" t="s">
        <v>59</v>
      </c>
      <c r="C13" t="s">
        <v>1</v>
      </c>
      <c r="D13">
        <v>10823846</v>
      </c>
      <c r="E13" t="s">
        <v>62</v>
      </c>
      <c r="G13" t="s">
        <v>3</v>
      </c>
      <c r="H13" s="1">
        <v>44297</v>
      </c>
      <c r="J13" t="s">
        <v>59</v>
      </c>
      <c r="K13" t="s">
        <v>44</v>
      </c>
      <c r="L13" t="s">
        <v>69</v>
      </c>
      <c r="N13" t="s">
        <v>50</v>
      </c>
    </row>
    <row r="14" spans="1:14" x14ac:dyDescent="0.25">
      <c r="A14">
        <v>12</v>
      </c>
      <c r="B14" t="s">
        <v>59</v>
      </c>
      <c r="C14" t="s">
        <v>1</v>
      </c>
      <c r="D14" t="s">
        <v>63</v>
      </c>
      <c r="E14" t="s">
        <v>64</v>
      </c>
      <c r="G14" t="s">
        <v>3</v>
      </c>
      <c r="H14" s="1">
        <v>44297</v>
      </c>
      <c r="J14" t="s">
        <v>59</v>
      </c>
      <c r="K14" t="s">
        <v>44</v>
      </c>
      <c r="L14" t="s">
        <v>69</v>
      </c>
      <c r="N14" t="s">
        <v>50</v>
      </c>
    </row>
    <row r="15" spans="1:14" x14ac:dyDescent="0.25">
      <c r="A15">
        <v>13</v>
      </c>
      <c r="B15" t="s">
        <v>59</v>
      </c>
      <c r="C15" t="s">
        <v>1</v>
      </c>
      <c r="D15" t="s">
        <v>63</v>
      </c>
      <c r="E15" t="s">
        <v>65</v>
      </c>
      <c r="G15" t="s">
        <v>3</v>
      </c>
      <c r="H15" s="1">
        <v>44297</v>
      </c>
      <c r="J15" t="s">
        <v>59</v>
      </c>
      <c r="K15" t="s">
        <v>44</v>
      </c>
      <c r="L15" t="s">
        <v>69</v>
      </c>
      <c r="N15" t="s">
        <v>50</v>
      </c>
    </row>
    <row r="16" spans="1:14" x14ac:dyDescent="0.25">
      <c r="A16">
        <v>14</v>
      </c>
      <c r="B16" t="s">
        <v>59</v>
      </c>
      <c r="C16" t="s">
        <v>1</v>
      </c>
      <c r="D16" t="s">
        <v>66</v>
      </c>
      <c r="E16" t="s">
        <v>67</v>
      </c>
      <c r="G16" t="s">
        <v>3</v>
      </c>
      <c r="H16" s="1">
        <v>44297</v>
      </c>
      <c r="J16" t="s">
        <v>59</v>
      </c>
      <c r="K16" t="s">
        <v>44</v>
      </c>
      <c r="L16" t="s">
        <v>69</v>
      </c>
      <c r="N16" t="s">
        <v>50</v>
      </c>
    </row>
    <row r="17" spans="1:14" x14ac:dyDescent="0.25">
      <c r="A17">
        <v>15</v>
      </c>
      <c r="B17" t="s">
        <v>59</v>
      </c>
      <c r="C17" t="s">
        <v>1</v>
      </c>
      <c r="D17">
        <v>20565940865</v>
      </c>
      <c r="E17" t="s">
        <v>68</v>
      </c>
      <c r="G17" t="s">
        <v>3</v>
      </c>
      <c r="H17" s="1">
        <v>44297</v>
      </c>
      <c r="J17" t="s">
        <v>59</v>
      </c>
      <c r="K17" t="s">
        <v>44</v>
      </c>
      <c r="L17" t="s">
        <v>69</v>
      </c>
      <c r="N17" t="s">
        <v>50</v>
      </c>
    </row>
    <row r="18" spans="1:14" x14ac:dyDescent="0.25">
      <c r="A18">
        <v>16</v>
      </c>
      <c r="B18" t="s">
        <v>53</v>
      </c>
      <c r="C18" t="s">
        <v>54</v>
      </c>
      <c r="D18">
        <v>47865259</v>
      </c>
      <c r="E18" t="s">
        <v>55</v>
      </c>
      <c r="G18" t="s">
        <v>16</v>
      </c>
      <c r="H18" t="s">
        <v>56</v>
      </c>
      <c r="J18" t="s">
        <v>53</v>
      </c>
      <c r="K18" t="s">
        <v>58</v>
      </c>
      <c r="N18" s="1">
        <v>44387</v>
      </c>
    </row>
    <row r="19" spans="1:14" x14ac:dyDescent="0.25">
      <c r="A19">
        <v>17</v>
      </c>
      <c r="B19" t="s">
        <v>53</v>
      </c>
      <c r="C19" t="s">
        <v>54</v>
      </c>
      <c r="D19">
        <v>71444053</v>
      </c>
      <c r="E19" t="s">
        <v>57</v>
      </c>
      <c r="G19" t="s">
        <v>16</v>
      </c>
      <c r="H19" t="s">
        <v>56</v>
      </c>
      <c r="J19" t="s">
        <v>53</v>
      </c>
      <c r="K19" t="s">
        <v>58</v>
      </c>
      <c r="N19" s="1">
        <v>44387</v>
      </c>
    </row>
    <row r="20" spans="1:14" x14ac:dyDescent="0.25">
      <c r="A20">
        <v>18</v>
      </c>
      <c r="B20" t="s">
        <v>14</v>
      </c>
      <c r="C20" t="s">
        <v>1</v>
      </c>
      <c r="D20">
        <v>29571828</v>
      </c>
      <c r="E20" t="s">
        <v>15</v>
      </c>
      <c r="G20" t="s">
        <v>16</v>
      </c>
      <c r="H20" t="s">
        <v>9</v>
      </c>
      <c r="J20" t="s">
        <v>14</v>
      </c>
      <c r="K20" t="s">
        <v>44</v>
      </c>
      <c r="N20" t="s">
        <v>31</v>
      </c>
    </row>
    <row r="21" spans="1:14" x14ac:dyDescent="0.25">
      <c r="A21">
        <v>19</v>
      </c>
      <c r="B21" t="s">
        <v>14</v>
      </c>
      <c r="C21" t="s">
        <v>1</v>
      </c>
      <c r="D21">
        <v>45436437</v>
      </c>
      <c r="E21" t="s">
        <v>17</v>
      </c>
      <c r="G21" t="s">
        <v>16</v>
      </c>
      <c r="H21" t="s">
        <v>9</v>
      </c>
      <c r="J21" t="s">
        <v>14</v>
      </c>
      <c r="K21" t="s">
        <v>44</v>
      </c>
      <c r="N21" t="s">
        <v>31</v>
      </c>
    </row>
    <row r="22" spans="1:14" x14ac:dyDescent="0.25">
      <c r="A22">
        <v>20</v>
      </c>
      <c r="B22" t="s">
        <v>14</v>
      </c>
      <c r="C22" t="s">
        <v>1</v>
      </c>
      <c r="D22">
        <v>45861344</v>
      </c>
      <c r="E22" t="s">
        <v>18</v>
      </c>
      <c r="G22" t="s">
        <v>16</v>
      </c>
      <c r="H22" t="s">
        <v>9</v>
      </c>
      <c r="J22" t="s">
        <v>14</v>
      </c>
      <c r="K22" t="s">
        <v>44</v>
      </c>
      <c r="N22" t="s">
        <v>31</v>
      </c>
    </row>
    <row r="23" spans="1:14" x14ac:dyDescent="0.25">
      <c r="A23">
        <v>21</v>
      </c>
      <c r="B23" t="s">
        <v>14</v>
      </c>
      <c r="C23" t="s">
        <v>1</v>
      </c>
      <c r="D23">
        <v>77102800</v>
      </c>
      <c r="E23" t="s">
        <v>19</v>
      </c>
      <c r="G23" t="s">
        <v>16</v>
      </c>
      <c r="H23" t="s">
        <v>9</v>
      </c>
      <c r="J23" t="s">
        <v>14</v>
      </c>
      <c r="K23" t="s">
        <v>44</v>
      </c>
      <c r="N23" t="s">
        <v>31</v>
      </c>
    </row>
    <row r="24" spans="1:14" x14ac:dyDescent="0.25">
      <c r="A24">
        <v>22</v>
      </c>
      <c r="B24" t="s">
        <v>14</v>
      </c>
      <c r="C24" t="s">
        <v>1</v>
      </c>
      <c r="D24">
        <v>77102801</v>
      </c>
      <c r="E24" t="s">
        <v>20</v>
      </c>
      <c r="G24" t="s">
        <v>16</v>
      </c>
      <c r="H24" t="s">
        <v>9</v>
      </c>
      <c r="J24" t="s">
        <v>14</v>
      </c>
      <c r="K24" t="s">
        <v>44</v>
      </c>
      <c r="N24" t="s">
        <v>31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G11"/>
  <sheetViews>
    <sheetView workbookViewId="0">
      <selection activeCell="I39" sqref="I39"/>
    </sheetView>
  </sheetViews>
  <sheetFormatPr baseColWidth="10" defaultRowHeight="15" x14ac:dyDescent="0.25"/>
  <cols>
    <col min="1" max="1" width="5.42578125" bestFit="1" customWidth="1"/>
    <col min="2" max="7" width="2" bestFit="1" customWidth="1"/>
  </cols>
  <sheetData>
    <row r="1" spans="1:7" x14ac:dyDescent="0.25">
      <c r="B1">
        <v>1</v>
      </c>
      <c r="C1">
        <v>0</v>
      </c>
      <c r="D1">
        <v>2</v>
      </c>
      <c r="E1">
        <v>0</v>
      </c>
      <c r="F1">
        <v>2</v>
      </c>
      <c r="G1">
        <v>1</v>
      </c>
    </row>
    <row r="2" spans="1:7" x14ac:dyDescent="0.25">
      <c r="A2">
        <v>9</v>
      </c>
      <c r="B2">
        <f>MATCH(B1,$A2:$A11,0)</f>
        <v>5</v>
      </c>
      <c r="C2">
        <f t="shared" ref="C2:G2" si="0">MATCH(C1,$A2:$A11,0)</f>
        <v>6</v>
      </c>
      <c r="D2">
        <f t="shared" si="0"/>
        <v>4</v>
      </c>
      <c r="E2">
        <f t="shared" si="0"/>
        <v>6</v>
      </c>
      <c r="F2">
        <f t="shared" si="0"/>
        <v>4</v>
      </c>
      <c r="G2">
        <f t="shared" si="0"/>
        <v>5</v>
      </c>
    </row>
    <row r="3" spans="1:7" x14ac:dyDescent="0.25">
      <c r="A3">
        <v>5</v>
      </c>
    </row>
    <row r="4" spans="1:7" x14ac:dyDescent="0.25">
      <c r="A4">
        <v>6</v>
      </c>
    </row>
    <row r="5" spans="1:7" x14ac:dyDescent="0.25">
      <c r="A5">
        <v>2</v>
      </c>
    </row>
    <row r="6" spans="1:7" x14ac:dyDescent="0.25">
      <c r="A6">
        <v>1</v>
      </c>
    </row>
    <row r="7" spans="1:7" x14ac:dyDescent="0.25">
      <c r="A7">
        <v>0</v>
      </c>
    </row>
    <row r="8" spans="1:7" x14ac:dyDescent="0.25">
      <c r="A8">
        <v>8</v>
      </c>
    </row>
    <row r="9" spans="1:7" x14ac:dyDescent="0.25">
      <c r="A9">
        <v>3</v>
      </c>
    </row>
    <row r="10" spans="1:7" x14ac:dyDescent="0.25">
      <c r="A10">
        <v>7</v>
      </c>
    </row>
    <row r="11" spans="1:7" x14ac:dyDescent="0.25">
      <c r="A11">
        <v>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2:T2"/>
  <sheetViews>
    <sheetView tabSelected="1" workbookViewId="0">
      <selection activeCell="Q7" sqref="Q7"/>
    </sheetView>
  </sheetViews>
  <sheetFormatPr baseColWidth="10" defaultRowHeight="15" x14ac:dyDescent="0.25"/>
  <cols>
    <col min="1" max="1" width="2" bestFit="1" customWidth="1"/>
    <col min="2" max="2" width="11.140625" bestFit="1" customWidth="1"/>
    <col min="3" max="3" width="10.7109375" bestFit="1" customWidth="1"/>
    <col min="4" max="4" width="13.28515625" bestFit="1" customWidth="1"/>
    <col min="5" max="5" width="13.7109375" bestFit="1" customWidth="1"/>
    <col min="6" max="6" width="8.7109375" bestFit="1" customWidth="1"/>
    <col min="7" max="7" width="7.85546875" bestFit="1" customWidth="1"/>
    <col min="8" max="8" width="7.5703125" bestFit="1" customWidth="1"/>
    <col min="9" max="9" width="15.28515625" bestFit="1" customWidth="1"/>
    <col min="10" max="10" width="9.140625" bestFit="1" customWidth="1"/>
    <col min="11" max="12" width="6.85546875" bestFit="1" customWidth="1"/>
    <col min="13" max="13" width="16.140625" bestFit="1" customWidth="1"/>
    <col min="14" max="14" width="16.140625" customWidth="1"/>
    <col min="15" max="15" width="14.140625" bestFit="1" customWidth="1"/>
  </cols>
  <sheetData>
    <row r="2" spans="1:20" x14ac:dyDescent="0.25">
      <c r="A2" t="s">
        <v>2</v>
      </c>
      <c r="B2" t="s">
        <v>35</v>
      </c>
      <c r="C2" t="s">
        <v>36</v>
      </c>
      <c r="D2" t="s">
        <v>70</v>
      </c>
      <c r="E2" t="s">
        <v>37</v>
      </c>
      <c r="F2" t="s">
        <v>71</v>
      </c>
      <c r="G2" t="s">
        <v>72</v>
      </c>
      <c r="H2" t="s">
        <v>73</v>
      </c>
      <c r="I2" t="s">
        <v>74</v>
      </c>
      <c r="J2" t="s">
        <v>75</v>
      </c>
      <c r="K2" t="s">
        <v>25</v>
      </c>
      <c r="L2" t="s">
        <v>43</v>
      </c>
      <c r="M2" t="s">
        <v>77</v>
      </c>
      <c r="N2" t="s">
        <v>26</v>
      </c>
      <c r="O2" t="s">
        <v>78</v>
      </c>
      <c r="P2" t="s">
        <v>76</v>
      </c>
      <c r="Q2" t="s">
        <v>79</v>
      </c>
      <c r="R2" t="s">
        <v>80</v>
      </c>
      <c r="S2" t="s">
        <v>81</v>
      </c>
      <c r="T2" t="s">
        <v>82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DataPeru</vt:lpstr>
      <vt:lpstr>DataPeruVida</vt:lpstr>
      <vt:lpstr>Pass</vt:lpstr>
      <vt:lpstr>Hist_DataPeru</vt:lpstr>
      <vt:lpstr>Hist_DataPeruVida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ALÍN ROBERT CASTILLO MEDINA</dc:creator>
  <cp:lastModifiedBy>Castillo Medina, Alin Robert</cp:lastModifiedBy>
  <dcterms:created xsi:type="dcterms:W3CDTF">2015-06-05T18:19:34Z</dcterms:created>
  <dcterms:modified xsi:type="dcterms:W3CDTF">2021-10-28T16:15:22Z</dcterms:modified>
</cp:coreProperties>
</file>